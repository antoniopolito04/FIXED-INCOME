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opolito/Downloads/Università/MAGISTRALE /FIXED INCOME PROJECT/dati/"/>
    </mc:Choice>
  </mc:AlternateContent>
  <xr:revisionPtr revIDLastSave="0" documentId="8_{9B5868D0-CF79-394F-9642-B3A9F345181F}" xr6:coauthVersionLast="47" xr6:coauthVersionMax="47" xr10:uidLastSave="{00000000-0000-0000-0000-000000000000}"/>
  <bookViews>
    <workbookView xWindow="0" yWindow="600" windowWidth="23260" windowHeight="12460" activeTab="2" xr2:uid="{0BD5C2EF-E264-4D74-88F4-358F611D1156}"/>
  </bookViews>
  <sheets>
    <sheet name="T-Bonds data" sheetId="2" r:id="rId1"/>
    <sheet name="T-Bills data" sheetId="3" r:id="rId2"/>
    <sheet name="Node Selection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54" i="2" l="1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E52" i="3"/>
  <c r="F52" i="3" s="1"/>
  <c r="E51" i="3"/>
  <c r="F51" i="3" s="1"/>
  <c r="E50" i="3"/>
  <c r="F50" i="3" s="1"/>
  <c r="E49" i="3"/>
  <c r="F49" i="3" s="1"/>
  <c r="E48" i="3"/>
  <c r="F48" i="3" s="1"/>
  <c r="E47" i="3"/>
  <c r="F47" i="3" s="1"/>
  <c r="E46" i="3"/>
  <c r="F46" i="3" s="1"/>
  <c r="E45" i="3"/>
  <c r="F45" i="3" s="1"/>
  <c r="E44" i="3"/>
  <c r="F44" i="3" s="1"/>
  <c r="E43" i="3"/>
  <c r="F43" i="3" s="1"/>
  <c r="E42" i="3"/>
  <c r="F42" i="3" s="1"/>
  <c r="E41" i="3"/>
  <c r="F41" i="3" s="1"/>
  <c r="E40" i="3"/>
  <c r="F40" i="3" s="1"/>
  <c r="E39" i="3"/>
  <c r="F39" i="3" s="1"/>
  <c r="E38" i="3"/>
  <c r="F38" i="3" s="1"/>
  <c r="E37" i="3"/>
  <c r="F37" i="3" s="1"/>
  <c r="E36" i="3"/>
  <c r="F36" i="3" s="1"/>
  <c r="E35" i="3"/>
  <c r="F35" i="3" s="1"/>
  <c r="E34" i="3"/>
  <c r="F34" i="3" s="1"/>
  <c r="E33" i="3"/>
  <c r="F33" i="3" s="1"/>
  <c r="E32" i="3"/>
  <c r="F32" i="3" s="1"/>
  <c r="E31" i="3"/>
  <c r="F31" i="3" s="1"/>
  <c r="E30" i="3"/>
  <c r="F30" i="3" s="1"/>
  <c r="E29" i="3"/>
  <c r="F29" i="3" s="1"/>
  <c r="E28" i="3"/>
  <c r="F28" i="3" s="1"/>
  <c r="E27" i="3"/>
  <c r="F27" i="3" s="1"/>
  <c r="E26" i="3"/>
  <c r="F26" i="3" s="1"/>
  <c r="E25" i="3"/>
  <c r="F25" i="3" s="1"/>
  <c r="E24" i="3"/>
  <c r="F24" i="3" s="1"/>
  <c r="E23" i="3"/>
  <c r="F23" i="3" s="1"/>
  <c r="E22" i="3"/>
  <c r="F22" i="3" s="1"/>
  <c r="E21" i="3"/>
  <c r="F21" i="3" s="1"/>
  <c r="E20" i="3"/>
  <c r="F20" i="3" s="1"/>
  <c r="E19" i="3"/>
  <c r="F19" i="3" s="1"/>
  <c r="E18" i="3"/>
  <c r="F18" i="3" s="1"/>
  <c r="E17" i="3"/>
  <c r="F17" i="3" s="1"/>
  <c r="E16" i="3"/>
  <c r="F16" i="3" s="1"/>
  <c r="E15" i="3"/>
  <c r="F15" i="3" s="1"/>
  <c r="E14" i="3"/>
  <c r="F14" i="3" s="1"/>
  <c r="E13" i="3"/>
  <c r="F13" i="3" s="1"/>
  <c r="E12" i="3"/>
  <c r="F12" i="3" s="1"/>
  <c r="E11" i="3"/>
  <c r="F11" i="3" s="1"/>
  <c r="E10" i="3"/>
  <c r="F10" i="3" s="1"/>
  <c r="E9" i="3"/>
  <c r="F9" i="3" s="1"/>
  <c r="E8" i="3"/>
  <c r="F8" i="3" s="1"/>
  <c r="E7" i="3"/>
  <c r="F7" i="3" s="1"/>
  <c r="E6" i="3"/>
  <c r="F6" i="3" s="1"/>
  <c r="E5" i="3"/>
  <c r="F5" i="3" s="1"/>
  <c r="E4" i="3"/>
  <c r="F4" i="3" s="1"/>
  <c r="E3" i="3"/>
  <c r="F3" i="3" s="1"/>
</calcChain>
</file>

<file path=xl/sharedStrings.xml><?xml version="1.0" encoding="utf-8"?>
<sst xmlns="http://schemas.openxmlformats.org/spreadsheetml/2006/main" count="39" uniqueCount="32">
  <si>
    <t>Tipo</t>
  </si>
  <si>
    <t>Scadenza (Maturity)</t>
  </si>
  <si>
    <t>Cedola (Coupon)</t>
  </si>
  <si>
    <t>Clean Price</t>
  </si>
  <si>
    <t>Frequenza</t>
  </si>
  <si>
    <t>T-Bill (1M)</t>
  </si>
  <si>
    <t>0.00%</t>
  </si>
  <si>
    <t>T-Bill (2M)</t>
  </si>
  <si>
    <t>T-Bill (3M)</t>
  </si>
  <si>
    <t>T-Bill (6M)</t>
  </si>
  <si>
    <t>T-Bill (12M)</t>
  </si>
  <si>
    <t>T-Note (2Y)</t>
  </si>
  <si>
    <t>T-Note (3Y)</t>
  </si>
  <si>
    <t>T-Note (5Y)</t>
  </si>
  <si>
    <t>T-Note (7Y)</t>
  </si>
  <si>
    <t>T-Note (10Y)</t>
  </si>
  <si>
    <t>T-Bond (20Y)</t>
  </si>
  <si>
    <t>T-Bond (30Y)</t>
  </si>
  <si>
    <t>U.S. TREASURY BILLS</t>
  </si>
  <si>
    <t>MATURITY</t>
  </si>
  <si>
    <t>BID</t>
  </si>
  <si>
    <t>ASK</t>
  </si>
  <si>
    <t>CHG</t>
  </si>
  <si>
    <t>MID-DISCOUNT</t>
  </si>
  <si>
    <t>CLEAN PRICE</t>
  </si>
  <si>
    <t>SETTLEMENT DATE</t>
  </si>
  <si>
    <t>n.a.</t>
  </si>
  <si>
    <t>U.S. TREASURY BONDS</t>
  </si>
  <si>
    <t>COUPON</t>
  </si>
  <si>
    <t>ASKED</t>
  </si>
  <si>
    <t>ASKED YIELD</t>
  </si>
  <si>
    <t xml:space="preserve">   MID-PRICE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</si>
</sst>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0.000%"/>
    <numFmt numFmtId="166" formatCode="0.000"/>
    <numFmt numFmtId="167" formatCode="0.000000"/>
    <numFmt numFmtId="168" formatCode="mm/dd/yyyy"/>
    <numFmt numFmtId="169" formatCode="0.0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b/>
      <sz val="11"/>
      <color rgb="FFFFFFFF"/>
      <name val="Segoe UI"/>
      <family val="2"/>
    </font>
    <font>
      <sz val="10"/>
      <color rgb="FF7F7F7F"/>
      <name val="Segoe UI"/>
      <family val="2"/>
    </font>
    <font>
      <sz val="10"/>
      <color rgb="FFFF0000"/>
      <name val="Segoe UI"/>
      <family val="2"/>
    </font>
    <font>
      <sz val="10"/>
      <color rgb="FF008000"/>
      <name val="Segoe UI"/>
      <family val="2"/>
    </font>
    <font>
      <i/>
      <sz val="10"/>
      <color rgb="FF7F7F7F"/>
      <name val="Segoe UI"/>
      <family val="2"/>
    </font>
    <font>
      <b/>
      <sz val="16"/>
      <color rgb="FFFFFFFF"/>
      <name val="Segoe UI"/>
      <family val="2"/>
    </font>
    <font>
      <sz val="10"/>
      <name val="Segoe UI"/>
      <family val="2"/>
    </font>
    <font>
      <sz val="1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2C3E50"/>
        <bgColor rgb="FF2C3E50"/>
      </patternFill>
    </fill>
    <fill>
      <patternFill patternType="solid">
        <fgColor rgb="FF34495E"/>
        <bgColor rgb="FF34495E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8F9FA"/>
      </patternFill>
    </fill>
    <fill>
      <patternFill patternType="solid">
        <fgColor rgb="FFFFFF00"/>
        <b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2" xfId="0" applyFont="1" applyBorder="1"/>
    <xf numFmtId="164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5" fontId="0" fillId="0" borderId="0" xfId="1" applyNumberFormat="1" applyFont="1"/>
    <xf numFmtId="165" fontId="2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4" fontId="2" fillId="0" borderId="0" xfId="0" applyNumberFormat="1" applyFont="1" applyAlignment="1">
      <alignment horizontal="center" vertical="center"/>
    </xf>
    <xf numFmtId="14" fontId="2" fillId="2" borderId="3" xfId="0" applyNumberFormat="1" applyFont="1" applyFill="1" applyBorder="1" applyAlignment="1">
      <alignment horizontal="center" vertical="center"/>
    </xf>
    <xf numFmtId="166" fontId="2" fillId="2" borderId="3" xfId="0" applyNumberFormat="1" applyFont="1" applyFill="1" applyBorder="1" applyAlignment="1">
      <alignment horizontal="right" vertical="center"/>
    </xf>
    <xf numFmtId="166" fontId="5" fillId="2" borderId="3" xfId="0" applyNumberFormat="1" applyFont="1" applyFill="1" applyBorder="1"/>
    <xf numFmtId="167" fontId="2" fillId="2" borderId="3" xfId="0" applyNumberFormat="1" applyFont="1" applyFill="1" applyBorder="1" applyAlignment="1">
      <alignment horizontal="right" vertical="center"/>
    </xf>
    <xf numFmtId="14" fontId="2" fillId="0" borderId="4" xfId="0" applyNumberFormat="1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right" vertical="center"/>
    </xf>
    <xf numFmtId="166" fontId="5" fillId="0" borderId="4" xfId="0" applyNumberFormat="1" applyFont="1" applyBorder="1"/>
    <xf numFmtId="167" fontId="2" fillId="0" borderId="4" xfId="0" applyNumberFormat="1" applyFont="1" applyBorder="1" applyAlignment="1">
      <alignment horizontal="right" vertical="center"/>
    </xf>
    <xf numFmtId="14" fontId="2" fillId="2" borderId="4" xfId="0" applyNumberFormat="1" applyFont="1" applyFill="1" applyBorder="1" applyAlignment="1">
      <alignment horizontal="center" vertical="center"/>
    </xf>
    <xf numFmtId="166" fontId="2" fillId="2" borderId="4" xfId="0" applyNumberFormat="1" applyFont="1" applyFill="1" applyBorder="1" applyAlignment="1">
      <alignment horizontal="right" vertical="center"/>
    </xf>
    <xf numFmtId="166" fontId="6" fillId="2" borderId="4" xfId="0" applyNumberFormat="1" applyFont="1" applyFill="1" applyBorder="1"/>
    <xf numFmtId="167" fontId="2" fillId="2" borderId="4" xfId="0" applyNumberFormat="1" applyFont="1" applyFill="1" applyBorder="1" applyAlignment="1">
      <alignment horizontal="right" vertical="center"/>
    </xf>
    <xf numFmtId="166" fontId="7" fillId="0" borderId="4" xfId="0" applyNumberFormat="1" applyFont="1" applyBorder="1"/>
    <xf numFmtId="166" fontId="7" fillId="2" borderId="4" xfId="0" applyNumberFormat="1" applyFont="1" applyFill="1" applyBorder="1"/>
    <xf numFmtId="14" fontId="2" fillId="3" borderId="4" xfId="0" applyNumberFormat="1" applyFont="1" applyFill="1" applyBorder="1" applyAlignment="1">
      <alignment horizontal="center" vertical="center"/>
    </xf>
    <xf numFmtId="166" fontId="2" fillId="3" borderId="4" xfId="0" applyNumberFormat="1" applyFont="1" applyFill="1" applyBorder="1" applyAlignment="1">
      <alignment horizontal="right" vertical="center"/>
    </xf>
    <xf numFmtId="166" fontId="7" fillId="3" borderId="4" xfId="0" applyNumberFormat="1" applyFont="1" applyFill="1" applyBorder="1"/>
    <xf numFmtId="167" fontId="2" fillId="3" borderId="4" xfId="0" applyNumberFormat="1" applyFont="1" applyFill="1" applyBorder="1" applyAlignment="1">
      <alignment horizontal="right" vertical="center"/>
    </xf>
    <xf numFmtId="166" fontId="5" fillId="2" borderId="4" xfId="0" applyNumberFormat="1" applyFont="1" applyFill="1" applyBorder="1"/>
    <xf numFmtId="14" fontId="2" fillId="4" borderId="4" xfId="0" applyNumberFormat="1" applyFont="1" applyFill="1" applyBorder="1" applyAlignment="1">
      <alignment horizontal="center" vertical="center"/>
    </xf>
    <xf numFmtId="166" fontId="2" fillId="4" borderId="4" xfId="0" applyNumberFormat="1" applyFont="1" applyFill="1" applyBorder="1" applyAlignment="1">
      <alignment horizontal="right" vertical="center"/>
    </xf>
    <xf numFmtId="166" fontId="5" fillId="4" borderId="4" xfId="0" applyNumberFormat="1" applyFont="1" applyFill="1" applyBorder="1"/>
    <xf numFmtId="167" fontId="2" fillId="4" borderId="4" xfId="0" applyNumberFormat="1" applyFont="1" applyFill="1" applyBorder="1" applyAlignment="1">
      <alignment horizontal="right" vertical="center"/>
    </xf>
    <xf numFmtId="166" fontId="7" fillId="4" borderId="4" xfId="0" applyNumberFormat="1" applyFont="1" applyFill="1" applyBorder="1"/>
    <xf numFmtId="0" fontId="8" fillId="4" borderId="4" xfId="0" applyFont="1" applyFill="1" applyBorder="1" applyAlignment="1">
      <alignment horizontal="center" vertical="center"/>
    </xf>
    <xf numFmtId="166" fontId="6" fillId="0" borderId="4" xfId="0" applyNumberFormat="1" applyFont="1" applyBorder="1"/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center"/>
    </xf>
    <xf numFmtId="168" fontId="10" fillId="7" borderId="5" xfId="0" applyNumberFormat="1" applyFont="1" applyFill="1" applyBorder="1" applyAlignment="1">
      <alignment horizontal="center"/>
    </xf>
    <xf numFmtId="166" fontId="10" fillId="7" borderId="5" xfId="0" applyNumberFormat="1" applyFont="1" applyFill="1" applyBorder="1" applyAlignment="1">
      <alignment horizontal="right"/>
    </xf>
    <xf numFmtId="169" fontId="10" fillId="7" borderId="5" xfId="0" applyNumberFormat="1" applyFont="1" applyFill="1" applyBorder="1" applyAlignment="1">
      <alignment horizontal="right"/>
    </xf>
    <xf numFmtId="167" fontId="10" fillId="7" borderId="5" xfId="0" applyNumberFormat="1" applyFont="1" applyFill="1" applyBorder="1" applyAlignment="1">
      <alignment horizontal="right"/>
    </xf>
    <xf numFmtId="168" fontId="10" fillId="8" borderId="5" xfId="0" applyNumberFormat="1" applyFont="1" applyFill="1" applyBorder="1" applyAlignment="1">
      <alignment horizontal="center"/>
    </xf>
    <xf numFmtId="166" fontId="10" fillId="8" borderId="5" xfId="0" applyNumberFormat="1" applyFont="1" applyFill="1" applyBorder="1" applyAlignment="1">
      <alignment horizontal="right"/>
    </xf>
    <xf numFmtId="169" fontId="10" fillId="8" borderId="5" xfId="0" applyNumberFormat="1" applyFont="1" applyFill="1" applyBorder="1" applyAlignment="1">
      <alignment horizontal="right"/>
    </xf>
    <xf numFmtId="167" fontId="10" fillId="8" borderId="5" xfId="0" applyNumberFormat="1" applyFont="1" applyFill="1" applyBorder="1" applyAlignment="1">
      <alignment horizontal="right"/>
    </xf>
    <xf numFmtId="168" fontId="10" fillId="9" borderId="5" xfId="0" applyNumberFormat="1" applyFont="1" applyFill="1" applyBorder="1" applyAlignment="1">
      <alignment horizontal="center"/>
    </xf>
    <xf numFmtId="166" fontId="10" fillId="9" borderId="5" xfId="0" applyNumberFormat="1" applyFont="1" applyFill="1" applyBorder="1" applyAlignment="1">
      <alignment horizontal="right"/>
    </xf>
    <xf numFmtId="169" fontId="10" fillId="9" borderId="5" xfId="0" applyNumberFormat="1" applyFont="1" applyFill="1" applyBorder="1" applyAlignment="1">
      <alignment horizontal="right"/>
    </xf>
    <xf numFmtId="167" fontId="10" fillId="9" borderId="5" xfId="0" applyNumberFormat="1" applyFont="1" applyFill="1" applyBorder="1" applyAlignment="1">
      <alignment horizontal="right"/>
    </xf>
    <xf numFmtId="168" fontId="10" fillId="10" borderId="5" xfId="0" applyNumberFormat="1" applyFont="1" applyFill="1" applyBorder="1" applyAlignment="1">
      <alignment horizontal="center"/>
    </xf>
    <xf numFmtId="166" fontId="10" fillId="10" borderId="5" xfId="0" applyNumberFormat="1" applyFont="1" applyFill="1" applyBorder="1" applyAlignment="1">
      <alignment horizontal="right"/>
    </xf>
    <xf numFmtId="169" fontId="10" fillId="10" borderId="5" xfId="0" applyNumberFormat="1" applyFont="1" applyFill="1" applyBorder="1" applyAlignment="1">
      <alignment horizontal="right"/>
    </xf>
    <xf numFmtId="167" fontId="10" fillId="10" borderId="5" xfId="0" applyNumberFormat="1" applyFont="1" applyFill="1" applyBorder="1" applyAlignment="1">
      <alignment horizontal="right"/>
    </xf>
    <xf numFmtId="0" fontId="11" fillId="0" borderId="0" xfId="0" applyFont="1"/>
    <xf numFmtId="0" fontId="9" fillId="5" borderId="0" xfId="0" applyFont="1" applyFill="1" applyAlignment="1">
      <alignment horizontal="center" vertical="center"/>
    </xf>
  </cellXfs>
  <cellStyles count="2">
    <cellStyle name="Normale" xfId="0" builtinId="0"/>
    <cellStyle name="Percentuale" xfId="1" builtinId="5"/>
  </cellStyles>
  <dxfs count="6">
    <dxf>
      <font>
        <color rgb="FF00B050"/>
      </font>
    </dxf>
    <dxf>
      <font>
        <color rgb="FFFF0000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34998626667073579"/>
      </font>
    </dxf>
    <dxf>
      <font>
        <color theme="0" tint="-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F0B9E-722C-4A16-B82E-F82B4642C0FF}">
  <dimension ref="A1:G354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5" customWidth="1"/>
    <col min="2" max="2" width="14" bestFit="1" customWidth="1"/>
    <col min="3" max="5" width="12" customWidth="1"/>
    <col min="6" max="6" width="15" customWidth="1"/>
    <col min="7" max="7" width="13.1640625" style="57" bestFit="1" customWidth="1"/>
  </cols>
  <sheetData>
    <row r="1" spans="1:7" ht="30" customHeight="1" x14ac:dyDescent="0.2">
      <c r="A1" s="58" t="s">
        <v>27</v>
      </c>
      <c r="B1" s="58"/>
      <c r="C1" s="58"/>
      <c r="D1" s="58"/>
      <c r="E1" s="58"/>
      <c r="F1" s="58"/>
      <c r="G1" s="58"/>
    </row>
    <row r="2" spans="1:7" ht="16" x14ac:dyDescent="0.2">
      <c r="A2" s="39" t="s">
        <v>19</v>
      </c>
      <c r="B2" s="39" t="s">
        <v>28</v>
      </c>
      <c r="C2" s="39" t="s">
        <v>20</v>
      </c>
      <c r="D2" s="39" t="s">
        <v>29</v>
      </c>
      <c r="E2" s="39" t="s">
        <v>22</v>
      </c>
      <c r="F2" s="39" t="s">
        <v>30</v>
      </c>
      <c r="G2" s="40" t="s">
        <v>31</v>
      </c>
    </row>
    <row r="3" spans="1:7" x14ac:dyDescent="0.2">
      <c r="A3" s="41">
        <v>46280</v>
      </c>
      <c r="B3" s="42">
        <v>4.625</v>
      </c>
      <c r="C3" s="43">
        <v>100.01</v>
      </c>
      <c r="D3" s="43">
        <v>100.02</v>
      </c>
      <c r="E3" s="42">
        <v>0</v>
      </c>
      <c r="F3" s="42">
        <v>2.8119999999999998</v>
      </c>
      <c r="G3" s="44">
        <f>AVERAGE(C3,D3)</f>
        <v>100.015</v>
      </c>
    </row>
    <row r="4" spans="1:7" x14ac:dyDescent="0.2">
      <c r="A4" s="45">
        <v>46295</v>
      </c>
      <c r="B4" s="46">
        <v>0.875</v>
      </c>
      <c r="C4" s="47">
        <v>99.242000000000004</v>
      </c>
      <c r="D4" s="47">
        <v>99.251999999999995</v>
      </c>
      <c r="E4" s="46">
        <v>2E-3</v>
      </c>
      <c r="F4" s="46">
        <v>3.6539999999999999</v>
      </c>
      <c r="G4" s="48">
        <f t="shared" ref="G4:G67" si="0">AVERAGE(C4,D4)</f>
        <v>99.247</v>
      </c>
    </row>
    <row r="5" spans="1:7" x14ac:dyDescent="0.2">
      <c r="A5" s="41">
        <v>46295</v>
      </c>
      <c r="B5" s="42">
        <v>1.625</v>
      </c>
      <c r="C5" s="43">
        <v>99.263999999999996</v>
      </c>
      <c r="D5" s="43">
        <v>99.274000000000001</v>
      </c>
      <c r="E5" s="42">
        <v>2E-3</v>
      </c>
      <c r="F5" s="42">
        <v>3.47</v>
      </c>
      <c r="G5" s="44">
        <f t="shared" si="0"/>
        <v>99.269000000000005</v>
      </c>
    </row>
    <row r="6" spans="1:7" x14ac:dyDescent="0.2">
      <c r="A6" s="45">
        <v>46295</v>
      </c>
      <c r="B6" s="46">
        <v>3.5</v>
      </c>
      <c r="C6" s="47">
        <v>99.304000000000002</v>
      </c>
      <c r="D6" s="47">
        <v>99.313999999999993</v>
      </c>
      <c r="E6" s="46">
        <v>0</v>
      </c>
      <c r="F6" s="46">
        <v>3.6789999999999998</v>
      </c>
      <c r="G6" s="48">
        <f t="shared" si="0"/>
        <v>99.308999999999997</v>
      </c>
    </row>
    <row r="7" spans="1:7" x14ac:dyDescent="0.2">
      <c r="A7" s="41">
        <v>46310</v>
      </c>
      <c r="B7" s="42">
        <v>4.625</v>
      </c>
      <c r="C7" s="43">
        <v>100.024</v>
      </c>
      <c r="D7" s="43">
        <v>100.03400000000001</v>
      </c>
      <c r="E7" s="42">
        <v>-1.2E-2</v>
      </c>
      <c r="F7" s="42">
        <v>3.6509999999999998</v>
      </c>
      <c r="G7" s="44">
        <f t="shared" si="0"/>
        <v>100.029</v>
      </c>
    </row>
    <row r="8" spans="1:7" x14ac:dyDescent="0.2">
      <c r="A8" s="45">
        <v>46326</v>
      </c>
      <c r="B8" s="46">
        <v>1.125</v>
      </c>
      <c r="C8" s="47">
        <v>99.171999999999997</v>
      </c>
      <c r="D8" s="47">
        <v>99.182000000000002</v>
      </c>
      <c r="E8" s="46">
        <v>2E-3</v>
      </c>
      <c r="F8" s="46">
        <v>3.8319999999999999</v>
      </c>
      <c r="G8" s="48">
        <f t="shared" si="0"/>
        <v>99.176999999999992</v>
      </c>
    </row>
    <row r="9" spans="1:7" x14ac:dyDescent="0.2">
      <c r="A9" s="41">
        <v>46326</v>
      </c>
      <c r="B9" s="42">
        <v>1.625</v>
      </c>
      <c r="C9" s="43">
        <v>99.2</v>
      </c>
      <c r="D9" s="43">
        <v>99.21</v>
      </c>
      <c r="E9" s="42">
        <v>4.0000000000000001E-3</v>
      </c>
      <c r="F9" s="42">
        <v>3.7850000000000001</v>
      </c>
      <c r="G9" s="44">
        <f t="shared" si="0"/>
        <v>99.204999999999998</v>
      </c>
    </row>
    <row r="10" spans="1:7" x14ac:dyDescent="0.2">
      <c r="A10" s="45">
        <v>46326</v>
      </c>
      <c r="B10" s="46">
        <v>4.125</v>
      </c>
      <c r="C10" s="47">
        <v>100.006</v>
      </c>
      <c r="D10" s="47">
        <v>100.01600000000001</v>
      </c>
      <c r="E10" s="46">
        <v>0</v>
      </c>
      <c r="F10" s="46">
        <v>3.7530000000000001</v>
      </c>
      <c r="G10" s="48">
        <f>AVERAGE(C10,D10)</f>
        <v>100.011</v>
      </c>
    </row>
    <row r="11" spans="1:7" x14ac:dyDescent="0.2">
      <c r="A11" s="41">
        <v>46341</v>
      </c>
      <c r="B11" s="42">
        <v>6.5</v>
      </c>
      <c r="C11" s="43">
        <v>100.134</v>
      </c>
      <c r="D11" s="43">
        <v>100.14400000000001</v>
      </c>
      <c r="E11" s="42">
        <v>-8.0000000000000002E-3</v>
      </c>
      <c r="F11" s="42">
        <v>4.173</v>
      </c>
      <c r="G11" s="44">
        <f>AVERAGE(C11,D11)</f>
        <v>100.13900000000001</v>
      </c>
    </row>
    <row r="12" spans="1:7" x14ac:dyDescent="0.2">
      <c r="A12" s="45">
        <v>46341</v>
      </c>
      <c r="B12" s="46">
        <v>4.625</v>
      </c>
      <c r="C12" s="47">
        <v>100.042</v>
      </c>
      <c r="D12" s="47">
        <v>100.05200000000001</v>
      </c>
      <c r="E12" s="46">
        <v>0</v>
      </c>
      <c r="F12" s="46">
        <v>3.7719999999999998</v>
      </c>
      <c r="G12" s="48">
        <f t="shared" si="0"/>
        <v>100.047</v>
      </c>
    </row>
    <row r="13" spans="1:7" x14ac:dyDescent="0.2">
      <c r="A13" s="41">
        <v>46341</v>
      </c>
      <c r="B13" s="42">
        <v>2</v>
      </c>
      <c r="C13" s="43">
        <v>99.194000000000003</v>
      </c>
      <c r="D13" s="43">
        <v>99.203999999999994</v>
      </c>
      <c r="E13" s="42">
        <v>2E-3</v>
      </c>
      <c r="F13" s="42">
        <v>3.8</v>
      </c>
      <c r="G13" s="44">
        <f t="shared" si="0"/>
        <v>99.198999999999998</v>
      </c>
    </row>
    <row r="14" spans="1:7" x14ac:dyDescent="0.2">
      <c r="A14" s="45">
        <v>46356</v>
      </c>
      <c r="B14" s="46">
        <v>1.25</v>
      </c>
      <c r="C14" s="47">
        <v>99.114000000000004</v>
      </c>
      <c r="D14" s="47">
        <v>99.123999999999995</v>
      </c>
      <c r="E14" s="46">
        <v>2E-3</v>
      </c>
      <c r="F14" s="46">
        <v>3.7850000000000001</v>
      </c>
      <c r="G14" s="48">
        <f t="shared" si="0"/>
        <v>99.119</v>
      </c>
    </row>
    <row r="15" spans="1:7" x14ac:dyDescent="0.2">
      <c r="A15" s="41">
        <v>46356</v>
      </c>
      <c r="B15" s="42">
        <v>1.625</v>
      </c>
      <c r="C15" s="43">
        <v>99.144000000000005</v>
      </c>
      <c r="D15" s="43">
        <v>99.153999999999996</v>
      </c>
      <c r="E15" s="42">
        <v>2E-3</v>
      </c>
      <c r="F15" s="42">
        <v>3.7669999999999999</v>
      </c>
      <c r="G15" s="44">
        <f t="shared" si="0"/>
        <v>99.149000000000001</v>
      </c>
    </row>
    <row r="16" spans="1:7" x14ac:dyDescent="0.2">
      <c r="A16" s="45">
        <v>46356</v>
      </c>
      <c r="B16" s="46">
        <v>4.25</v>
      </c>
      <c r="C16" s="47">
        <v>100.024</v>
      </c>
      <c r="D16" s="47">
        <v>100.03400000000001</v>
      </c>
      <c r="E16" s="46">
        <v>0</v>
      </c>
      <c r="F16" s="46">
        <v>3.7730000000000001</v>
      </c>
      <c r="G16" s="48">
        <f t="shared" si="0"/>
        <v>100.029</v>
      </c>
    </row>
    <row r="17" spans="1:7" x14ac:dyDescent="0.2">
      <c r="A17" s="41">
        <v>46371</v>
      </c>
      <c r="B17" s="42">
        <v>4.375</v>
      </c>
      <c r="C17" s="43">
        <v>100.04600000000001</v>
      </c>
      <c r="D17" s="43">
        <v>100.056</v>
      </c>
      <c r="E17" s="42">
        <v>0</v>
      </c>
      <c r="F17" s="42">
        <v>3.7160000000000002</v>
      </c>
      <c r="G17" s="44">
        <f t="shared" si="0"/>
        <v>100.051</v>
      </c>
    </row>
    <row r="18" spans="1:7" x14ac:dyDescent="0.2">
      <c r="A18" s="45">
        <v>46387</v>
      </c>
      <c r="B18" s="46">
        <v>1.25</v>
      </c>
      <c r="C18" s="47">
        <v>99.04</v>
      </c>
      <c r="D18" s="47">
        <v>99.05</v>
      </c>
      <c r="E18" s="46">
        <v>4.0000000000000001E-3</v>
      </c>
      <c r="F18" s="46">
        <v>3.875</v>
      </c>
      <c r="G18" s="48">
        <f t="shared" si="0"/>
        <v>99.045000000000002</v>
      </c>
    </row>
    <row r="19" spans="1:7" x14ac:dyDescent="0.2">
      <c r="A19" s="41">
        <v>46387</v>
      </c>
      <c r="B19" s="42">
        <v>1.75</v>
      </c>
      <c r="C19" s="43">
        <v>99.09</v>
      </c>
      <c r="D19" s="43">
        <v>99.1</v>
      </c>
      <c r="E19" s="42">
        <v>0</v>
      </c>
      <c r="F19" s="42">
        <v>3.8860000000000001</v>
      </c>
      <c r="G19" s="44">
        <f t="shared" si="0"/>
        <v>99.094999999999999</v>
      </c>
    </row>
    <row r="20" spans="1:7" x14ac:dyDescent="0.2">
      <c r="A20" s="45">
        <v>46387</v>
      </c>
      <c r="B20" s="46">
        <v>4.25</v>
      </c>
      <c r="C20" s="47">
        <v>100.026</v>
      </c>
      <c r="D20" s="47">
        <v>100.036</v>
      </c>
      <c r="E20" s="46">
        <v>-8.0000000000000002E-3</v>
      </c>
      <c r="F20" s="46">
        <v>3.871</v>
      </c>
      <c r="G20" s="48">
        <f t="shared" si="0"/>
        <v>100.03100000000001</v>
      </c>
    </row>
    <row r="21" spans="1:7" x14ac:dyDescent="0.2">
      <c r="A21" s="41">
        <v>46402</v>
      </c>
      <c r="B21" s="42">
        <v>4</v>
      </c>
      <c r="C21" s="43">
        <v>100.012</v>
      </c>
      <c r="D21" s="43">
        <v>100.02200000000001</v>
      </c>
      <c r="E21" s="42">
        <v>0</v>
      </c>
      <c r="F21" s="42">
        <v>3.7949999999999999</v>
      </c>
      <c r="G21" s="44">
        <f t="shared" si="0"/>
        <v>100.017</v>
      </c>
    </row>
    <row r="22" spans="1:7" x14ac:dyDescent="0.2">
      <c r="A22" s="45">
        <v>46418</v>
      </c>
      <c r="B22" s="46">
        <v>4.125</v>
      </c>
      <c r="C22" s="47">
        <v>100.006</v>
      </c>
      <c r="D22" s="47">
        <v>100.01600000000001</v>
      </c>
      <c r="E22" s="46">
        <v>-4.0000000000000001E-3</v>
      </c>
      <c r="F22" s="46">
        <v>3.9820000000000002</v>
      </c>
      <c r="G22" s="48">
        <f t="shared" si="0"/>
        <v>100.011</v>
      </c>
    </row>
    <row r="23" spans="1:7" x14ac:dyDescent="0.2">
      <c r="A23" s="41">
        <v>46418</v>
      </c>
      <c r="B23" s="42">
        <v>1.5</v>
      </c>
      <c r="C23" s="43">
        <v>98.311999999999998</v>
      </c>
      <c r="D23" s="43">
        <v>99.001999999999995</v>
      </c>
      <c r="E23" s="42">
        <v>0</v>
      </c>
      <c r="F23" s="42">
        <v>3.9590000000000001</v>
      </c>
      <c r="G23" s="44">
        <f t="shared" si="0"/>
        <v>98.656999999999996</v>
      </c>
    </row>
    <row r="24" spans="1:7" x14ac:dyDescent="0.2">
      <c r="A24" s="45">
        <v>46433</v>
      </c>
      <c r="B24" s="46">
        <v>2.25</v>
      </c>
      <c r="C24" s="47">
        <v>99.072000000000003</v>
      </c>
      <c r="D24" s="47">
        <v>99.081999999999994</v>
      </c>
      <c r="E24" s="46">
        <v>0</v>
      </c>
      <c r="F24" s="46">
        <v>3.9239999999999999</v>
      </c>
      <c r="G24" s="48">
        <f t="shared" si="0"/>
        <v>99.076999999999998</v>
      </c>
    </row>
    <row r="25" spans="1:7" x14ac:dyDescent="0.2">
      <c r="A25" s="41">
        <v>46433</v>
      </c>
      <c r="B25" s="42">
        <v>4.125</v>
      </c>
      <c r="C25" s="43">
        <v>100.01600000000001</v>
      </c>
      <c r="D25" s="43">
        <v>100.026</v>
      </c>
      <c r="E25" s="42">
        <v>-4.0000000000000001E-3</v>
      </c>
      <c r="F25" s="42">
        <v>3.927</v>
      </c>
      <c r="G25" s="44">
        <f t="shared" si="0"/>
        <v>100.021</v>
      </c>
    </row>
    <row r="26" spans="1:7" x14ac:dyDescent="0.2">
      <c r="A26" s="45">
        <v>46433</v>
      </c>
      <c r="B26" s="46">
        <v>6.625</v>
      </c>
      <c r="C26" s="47">
        <v>101.042</v>
      </c>
      <c r="D26" s="47">
        <v>101.05200000000001</v>
      </c>
      <c r="E26" s="46">
        <v>-1.4E-2</v>
      </c>
      <c r="F26" s="46">
        <v>3.9889999999999999</v>
      </c>
      <c r="G26" s="48">
        <f t="shared" si="0"/>
        <v>101.047</v>
      </c>
    </row>
    <row r="27" spans="1:7" x14ac:dyDescent="0.2">
      <c r="A27" s="41">
        <v>46446</v>
      </c>
      <c r="B27" s="42">
        <v>1.125</v>
      </c>
      <c r="C27" s="43">
        <v>98.186000000000007</v>
      </c>
      <c r="D27" s="43">
        <v>98.195999999999998</v>
      </c>
      <c r="E27" s="42">
        <v>0</v>
      </c>
      <c r="F27" s="42">
        <v>3.9769999999999999</v>
      </c>
      <c r="G27" s="44">
        <f t="shared" si="0"/>
        <v>98.191000000000003</v>
      </c>
    </row>
    <row r="28" spans="1:7" x14ac:dyDescent="0.2">
      <c r="A28" s="45">
        <v>46446</v>
      </c>
      <c r="B28" s="46">
        <v>1.875</v>
      </c>
      <c r="C28" s="47">
        <v>98.311999999999998</v>
      </c>
      <c r="D28" s="47">
        <v>99.001999999999995</v>
      </c>
      <c r="E28" s="46">
        <v>0</v>
      </c>
      <c r="F28" s="46">
        <v>3.92</v>
      </c>
      <c r="G28" s="48">
        <f t="shared" si="0"/>
        <v>98.656999999999996</v>
      </c>
    </row>
    <row r="29" spans="1:7" x14ac:dyDescent="0.2">
      <c r="A29" s="41">
        <v>46446</v>
      </c>
      <c r="B29" s="42">
        <v>4.125</v>
      </c>
      <c r="C29" s="43">
        <v>100.014</v>
      </c>
      <c r="D29" s="43">
        <v>100.024</v>
      </c>
      <c r="E29" s="42">
        <v>-2E-3</v>
      </c>
      <c r="F29" s="42">
        <v>3.9630000000000001</v>
      </c>
      <c r="G29" s="44">
        <f t="shared" si="0"/>
        <v>100.01900000000001</v>
      </c>
    </row>
    <row r="30" spans="1:7" x14ac:dyDescent="0.2">
      <c r="A30" s="45">
        <v>46461</v>
      </c>
      <c r="B30" s="46">
        <v>4.25</v>
      </c>
      <c r="C30" s="47">
        <v>100.042</v>
      </c>
      <c r="D30" s="47">
        <v>100.05200000000001</v>
      </c>
      <c r="E30" s="46">
        <v>-2E-3</v>
      </c>
      <c r="F30" s="46">
        <v>3.9350000000000001</v>
      </c>
      <c r="G30" s="48">
        <f t="shared" si="0"/>
        <v>100.047</v>
      </c>
    </row>
    <row r="31" spans="1:7" x14ac:dyDescent="0.2">
      <c r="A31" s="41">
        <v>46477</v>
      </c>
      <c r="B31" s="42">
        <v>3.875</v>
      </c>
      <c r="C31" s="43">
        <v>99.286000000000001</v>
      </c>
      <c r="D31" s="43">
        <v>99.296000000000006</v>
      </c>
      <c r="E31" s="42">
        <v>-4.0000000000000001E-3</v>
      </c>
      <c r="F31" s="42">
        <v>3.9950000000000001</v>
      </c>
      <c r="G31" s="44">
        <f t="shared" si="0"/>
        <v>99.290999999999997</v>
      </c>
    </row>
    <row r="32" spans="1:7" x14ac:dyDescent="0.2">
      <c r="A32" s="45">
        <v>46477</v>
      </c>
      <c r="B32" s="46">
        <v>2.5</v>
      </c>
      <c r="C32" s="47">
        <v>99.04</v>
      </c>
      <c r="D32" s="47">
        <v>99.05</v>
      </c>
      <c r="E32" s="46">
        <v>0</v>
      </c>
      <c r="F32" s="46">
        <v>3.992</v>
      </c>
      <c r="G32" s="48">
        <f t="shared" si="0"/>
        <v>99.045000000000002</v>
      </c>
    </row>
    <row r="33" spans="1:7" x14ac:dyDescent="0.2">
      <c r="A33" s="41">
        <v>46477</v>
      </c>
      <c r="B33" s="42">
        <v>0.625</v>
      </c>
      <c r="C33" s="43">
        <v>98.022000000000006</v>
      </c>
      <c r="D33" s="43">
        <v>98.031999999999996</v>
      </c>
      <c r="E33" s="42">
        <v>0</v>
      </c>
      <c r="F33" s="42">
        <v>3.988</v>
      </c>
      <c r="G33" s="44">
        <f t="shared" si="0"/>
        <v>98.027000000000001</v>
      </c>
    </row>
    <row r="34" spans="1:7" x14ac:dyDescent="0.2">
      <c r="A34" s="45">
        <v>46492</v>
      </c>
      <c r="B34" s="46">
        <v>4.5</v>
      </c>
      <c r="C34" s="47">
        <v>100.08</v>
      </c>
      <c r="D34" s="47">
        <v>100.09</v>
      </c>
      <c r="E34" s="46">
        <v>-2E-3</v>
      </c>
      <c r="F34" s="46">
        <v>4.0279999999999996</v>
      </c>
      <c r="G34" s="48">
        <f t="shared" si="0"/>
        <v>100.08500000000001</v>
      </c>
    </row>
    <row r="35" spans="1:7" x14ac:dyDescent="0.2">
      <c r="A35" s="41">
        <v>46507</v>
      </c>
      <c r="B35" s="42">
        <v>0.5</v>
      </c>
      <c r="C35" s="43">
        <v>97.213999999999999</v>
      </c>
      <c r="D35" s="43">
        <v>97.224000000000004</v>
      </c>
      <c r="E35" s="42">
        <v>0</v>
      </c>
      <c r="F35" s="42">
        <v>4.0599999999999996</v>
      </c>
      <c r="G35" s="44">
        <f t="shared" si="0"/>
        <v>97.218999999999994</v>
      </c>
    </row>
    <row r="36" spans="1:7" x14ac:dyDescent="0.2">
      <c r="A36" s="45">
        <v>46507</v>
      </c>
      <c r="B36" s="46">
        <v>2.75</v>
      </c>
      <c r="C36" s="47">
        <v>99.036000000000001</v>
      </c>
      <c r="D36" s="47">
        <v>99.05</v>
      </c>
      <c r="E36" s="46">
        <v>2E-3</v>
      </c>
      <c r="F36" s="46">
        <v>4.0529999999999999</v>
      </c>
      <c r="G36" s="48">
        <f t="shared" si="0"/>
        <v>99.043000000000006</v>
      </c>
    </row>
    <row r="37" spans="1:7" x14ac:dyDescent="0.2">
      <c r="A37" s="41">
        <v>46507</v>
      </c>
      <c r="B37" s="42">
        <v>3.75</v>
      </c>
      <c r="C37" s="43">
        <v>99.242000000000004</v>
      </c>
      <c r="D37" s="43">
        <v>99.251999999999995</v>
      </c>
      <c r="E37" s="42">
        <v>-2E-3</v>
      </c>
      <c r="F37" s="42">
        <v>4.0709999999999997</v>
      </c>
      <c r="G37" s="44">
        <f t="shared" si="0"/>
        <v>99.247</v>
      </c>
    </row>
    <row r="38" spans="1:7" x14ac:dyDescent="0.2">
      <c r="A38" s="45">
        <v>46522</v>
      </c>
      <c r="B38" s="46">
        <v>2.375</v>
      </c>
      <c r="C38" s="47">
        <v>98.251999999999995</v>
      </c>
      <c r="D38" s="47">
        <v>98.262</v>
      </c>
      <c r="E38" s="46">
        <v>0</v>
      </c>
      <c r="F38" s="46">
        <v>4.0949999999999998</v>
      </c>
      <c r="G38" s="48">
        <f t="shared" si="0"/>
        <v>98.257000000000005</v>
      </c>
    </row>
    <row r="39" spans="1:7" x14ac:dyDescent="0.2">
      <c r="A39" s="41">
        <v>46522</v>
      </c>
      <c r="B39" s="42">
        <v>4.5</v>
      </c>
      <c r="C39" s="43">
        <v>100.074</v>
      </c>
      <c r="D39" s="43">
        <v>100.084</v>
      </c>
      <c r="E39" s="42">
        <v>-6.0000000000000001E-3</v>
      </c>
      <c r="F39" s="42">
        <v>4.1040000000000001</v>
      </c>
      <c r="G39" s="44">
        <f t="shared" si="0"/>
        <v>100.07900000000001</v>
      </c>
    </row>
    <row r="40" spans="1:7" x14ac:dyDescent="0.2">
      <c r="A40" s="45">
        <v>46538</v>
      </c>
      <c r="B40" s="46">
        <v>0.5</v>
      </c>
      <c r="C40" s="47">
        <v>97.111999999999995</v>
      </c>
      <c r="D40" s="47">
        <v>97.122</v>
      </c>
      <c r="E40" s="46">
        <v>0</v>
      </c>
      <c r="F40" s="46">
        <v>4.1109999999999998</v>
      </c>
      <c r="G40" s="48">
        <f t="shared" si="0"/>
        <v>97.11699999999999</v>
      </c>
    </row>
    <row r="41" spans="1:7" x14ac:dyDescent="0.2">
      <c r="A41" s="41">
        <v>46538</v>
      </c>
      <c r="B41" s="42">
        <v>2.625</v>
      </c>
      <c r="C41" s="43">
        <v>98.281999999999996</v>
      </c>
      <c r="D41" s="43">
        <v>98.292000000000002</v>
      </c>
      <c r="E41" s="42">
        <v>-2E-3</v>
      </c>
      <c r="F41" s="42">
        <v>4.1189999999999998</v>
      </c>
      <c r="G41" s="44">
        <f t="shared" si="0"/>
        <v>98.287000000000006</v>
      </c>
    </row>
    <row r="42" spans="1:7" x14ac:dyDescent="0.2">
      <c r="A42" s="45">
        <v>46538</v>
      </c>
      <c r="B42" s="46">
        <v>3.875</v>
      </c>
      <c r="C42" s="47">
        <v>99.25</v>
      </c>
      <c r="D42" s="47">
        <v>99.26</v>
      </c>
      <c r="E42" s="46">
        <v>-0.01</v>
      </c>
      <c r="F42" s="46">
        <v>4.1269999999999998</v>
      </c>
      <c r="G42" s="48">
        <f t="shared" si="0"/>
        <v>99.254999999999995</v>
      </c>
    </row>
    <row r="43" spans="1:7" x14ac:dyDescent="0.2">
      <c r="A43" s="41">
        <v>46553</v>
      </c>
      <c r="B43" s="42">
        <v>4.625</v>
      </c>
      <c r="C43" s="43">
        <v>100.11</v>
      </c>
      <c r="D43" s="43">
        <v>100.12</v>
      </c>
      <c r="E43" s="42">
        <v>-4.0000000000000001E-3</v>
      </c>
      <c r="F43" s="42">
        <v>4.1269999999999998</v>
      </c>
      <c r="G43" s="44">
        <f t="shared" si="0"/>
        <v>100.11500000000001</v>
      </c>
    </row>
    <row r="44" spans="1:7" x14ac:dyDescent="0.2">
      <c r="A44" s="45">
        <v>46568</v>
      </c>
      <c r="B44" s="46">
        <v>3.75</v>
      </c>
      <c r="C44" s="47">
        <v>99.206000000000003</v>
      </c>
      <c r="D44" s="47">
        <v>99.215999999999994</v>
      </c>
      <c r="E44" s="46">
        <v>-6.0000000000000001E-3</v>
      </c>
      <c r="F44" s="46">
        <v>4.1429999999999998</v>
      </c>
      <c r="G44" s="48">
        <f t="shared" si="0"/>
        <v>99.210999999999999</v>
      </c>
    </row>
    <row r="45" spans="1:7" x14ac:dyDescent="0.2">
      <c r="A45" s="41">
        <v>46568</v>
      </c>
      <c r="B45" s="42">
        <v>3.25</v>
      </c>
      <c r="C45" s="43">
        <v>99.073999999999998</v>
      </c>
      <c r="D45" s="43">
        <v>99.084000000000003</v>
      </c>
      <c r="E45" s="42">
        <v>-6.0000000000000001E-3</v>
      </c>
      <c r="F45" s="42">
        <v>4.1589999999999998</v>
      </c>
      <c r="G45" s="44">
        <f t="shared" si="0"/>
        <v>99.079000000000008</v>
      </c>
    </row>
    <row r="46" spans="1:7" x14ac:dyDescent="0.2">
      <c r="A46" s="45">
        <v>46568</v>
      </c>
      <c r="B46" s="46">
        <v>0.5</v>
      </c>
      <c r="C46" s="47">
        <v>97.013999999999996</v>
      </c>
      <c r="D46" s="47">
        <v>97.024000000000001</v>
      </c>
      <c r="E46" s="46">
        <v>-2E-3</v>
      </c>
      <c r="F46" s="46">
        <v>4.133</v>
      </c>
      <c r="G46" s="48">
        <f t="shared" si="0"/>
        <v>97.019000000000005</v>
      </c>
    </row>
    <row r="47" spans="1:7" x14ac:dyDescent="0.2">
      <c r="A47" s="41">
        <v>46583</v>
      </c>
      <c r="B47" s="42">
        <v>4.375</v>
      </c>
      <c r="C47" s="43">
        <v>100.04600000000001</v>
      </c>
      <c r="D47" s="43">
        <v>100.056</v>
      </c>
      <c r="E47" s="42">
        <v>-6.0000000000000001E-3</v>
      </c>
      <c r="F47" s="42">
        <v>4.157</v>
      </c>
      <c r="G47" s="44">
        <f t="shared" si="0"/>
        <v>100.051</v>
      </c>
    </row>
    <row r="48" spans="1:7" x14ac:dyDescent="0.2">
      <c r="A48" s="45">
        <v>46599</v>
      </c>
      <c r="B48" s="46">
        <v>0.375</v>
      </c>
      <c r="C48" s="47">
        <v>96.182000000000002</v>
      </c>
      <c r="D48" s="47">
        <v>96.191999999999993</v>
      </c>
      <c r="E48" s="46">
        <v>-2E-3</v>
      </c>
      <c r="F48" s="46">
        <v>4.2190000000000003</v>
      </c>
      <c r="G48" s="48">
        <f t="shared" si="0"/>
        <v>96.186999999999998</v>
      </c>
    </row>
    <row r="49" spans="1:7" x14ac:dyDescent="0.2">
      <c r="A49" s="41">
        <v>46599</v>
      </c>
      <c r="B49" s="42">
        <v>2.75</v>
      </c>
      <c r="C49" s="43">
        <v>98.213999999999999</v>
      </c>
      <c r="D49" s="43">
        <v>98.224000000000004</v>
      </c>
      <c r="E49" s="42">
        <v>-6.0000000000000001E-3</v>
      </c>
      <c r="F49" s="42">
        <v>4.2149999999999999</v>
      </c>
      <c r="G49" s="44">
        <f t="shared" si="0"/>
        <v>98.218999999999994</v>
      </c>
    </row>
    <row r="50" spans="1:7" x14ac:dyDescent="0.2">
      <c r="A50" s="45">
        <v>46599</v>
      </c>
      <c r="B50" s="46">
        <v>3.875</v>
      </c>
      <c r="C50" s="47">
        <v>99.213999999999999</v>
      </c>
      <c r="D50" s="47">
        <v>99.224000000000004</v>
      </c>
      <c r="E50" s="46">
        <v>-6.0000000000000001E-3</v>
      </c>
      <c r="F50" s="46">
        <v>4.2069999999999999</v>
      </c>
      <c r="G50" s="48">
        <f t="shared" si="0"/>
        <v>99.218999999999994</v>
      </c>
    </row>
    <row r="51" spans="1:7" x14ac:dyDescent="0.2">
      <c r="A51" s="41">
        <v>46614</v>
      </c>
      <c r="B51" s="42">
        <v>2.25</v>
      </c>
      <c r="C51" s="43">
        <v>98.046000000000006</v>
      </c>
      <c r="D51" s="43">
        <v>98.055999999999997</v>
      </c>
      <c r="E51" s="42">
        <v>-4.0000000000000001E-3</v>
      </c>
      <c r="F51" s="42">
        <v>4.2220000000000004</v>
      </c>
      <c r="G51" s="44">
        <f t="shared" si="0"/>
        <v>98.051000000000002</v>
      </c>
    </row>
    <row r="52" spans="1:7" x14ac:dyDescent="0.2">
      <c r="A52" s="45">
        <v>46614</v>
      </c>
      <c r="B52" s="46">
        <v>3.75</v>
      </c>
      <c r="C52" s="47">
        <v>99.171999999999997</v>
      </c>
      <c r="D52" s="47">
        <v>99.182000000000002</v>
      </c>
      <c r="E52" s="46">
        <v>-8.0000000000000002E-3</v>
      </c>
      <c r="F52" s="46">
        <v>4.2140000000000004</v>
      </c>
      <c r="G52" s="48">
        <f t="shared" si="0"/>
        <v>99.176999999999992</v>
      </c>
    </row>
    <row r="53" spans="1:7" x14ac:dyDescent="0.2">
      <c r="A53" s="41">
        <v>46614</v>
      </c>
      <c r="B53" s="42">
        <v>6.375</v>
      </c>
      <c r="C53" s="43">
        <v>101.306</v>
      </c>
      <c r="D53" s="43">
        <v>101.316</v>
      </c>
      <c r="E53" s="42">
        <v>-4.0000000000000001E-3</v>
      </c>
      <c r="F53" s="42">
        <v>4.2130000000000001</v>
      </c>
      <c r="G53" s="44">
        <f t="shared" si="0"/>
        <v>101.31100000000001</v>
      </c>
    </row>
    <row r="54" spans="1:7" x14ac:dyDescent="0.2">
      <c r="A54" s="45">
        <v>46630</v>
      </c>
      <c r="B54" s="46">
        <v>3.625</v>
      </c>
      <c r="C54" s="47">
        <v>99.13</v>
      </c>
      <c r="D54" s="47">
        <v>99.14</v>
      </c>
      <c r="E54" s="46">
        <v>-6.0000000000000001E-3</v>
      </c>
      <c r="F54" s="46">
        <v>4.2080000000000002</v>
      </c>
      <c r="G54" s="48">
        <f t="shared" si="0"/>
        <v>99.134999999999991</v>
      </c>
    </row>
    <row r="55" spans="1:7" x14ac:dyDescent="0.2">
      <c r="A55" s="41">
        <v>46630</v>
      </c>
      <c r="B55" s="42">
        <v>3.125</v>
      </c>
      <c r="C55" s="43">
        <v>98.29</v>
      </c>
      <c r="D55" s="43">
        <v>98.3</v>
      </c>
      <c r="E55" s="42">
        <v>-6.0000000000000001E-3</v>
      </c>
      <c r="F55" s="42">
        <v>4.2270000000000003</v>
      </c>
      <c r="G55" s="44">
        <f t="shared" si="0"/>
        <v>98.295000000000002</v>
      </c>
    </row>
    <row r="56" spans="1:7" x14ac:dyDescent="0.2">
      <c r="A56" s="45">
        <v>46630</v>
      </c>
      <c r="B56" s="46">
        <v>0.5</v>
      </c>
      <c r="C56" s="47">
        <v>96.12</v>
      </c>
      <c r="D56" s="47">
        <v>96.13</v>
      </c>
      <c r="E56" s="46">
        <v>-0.01</v>
      </c>
      <c r="F56" s="46">
        <v>4.2279999999999998</v>
      </c>
      <c r="G56" s="48">
        <f t="shared" si="0"/>
        <v>96.125</v>
      </c>
    </row>
    <row r="57" spans="1:7" x14ac:dyDescent="0.2">
      <c r="A57" s="41">
        <v>46645</v>
      </c>
      <c r="B57" s="42">
        <v>3.375</v>
      </c>
      <c r="C57" s="43">
        <v>99.036000000000001</v>
      </c>
      <c r="D57" s="43">
        <v>99.046000000000006</v>
      </c>
      <c r="E57" s="42">
        <v>-1.6E-2</v>
      </c>
      <c r="F57" s="42">
        <v>4.2229999999999999</v>
      </c>
      <c r="G57" s="44">
        <f t="shared" si="0"/>
        <v>99.040999999999997</v>
      </c>
    </row>
    <row r="58" spans="1:7" x14ac:dyDescent="0.2">
      <c r="A58" s="45">
        <v>46660</v>
      </c>
      <c r="B58" s="46">
        <v>0.375</v>
      </c>
      <c r="C58" s="47">
        <v>95.3</v>
      </c>
      <c r="D58" s="47">
        <v>95.31</v>
      </c>
      <c r="E58" s="46">
        <v>-4.0000000000000001E-3</v>
      </c>
      <c r="F58" s="46">
        <v>4.2450000000000001</v>
      </c>
      <c r="G58" s="48">
        <f t="shared" si="0"/>
        <v>95.305000000000007</v>
      </c>
    </row>
    <row r="59" spans="1:7" x14ac:dyDescent="0.2">
      <c r="A59" s="41">
        <v>46660</v>
      </c>
      <c r="B59" s="42">
        <v>3.5</v>
      </c>
      <c r="C59" s="43">
        <v>99.061999999999998</v>
      </c>
      <c r="D59" s="43">
        <v>99.072000000000003</v>
      </c>
      <c r="E59" s="42">
        <v>-8.0000000000000002E-3</v>
      </c>
      <c r="F59" s="42">
        <v>4.24</v>
      </c>
      <c r="G59" s="44">
        <f t="shared" si="0"/>
        <v>99.067000000000007</v>
      </c>
    </row>
    <row r="60" spans="1:7" x14ac:dyDescent="0.2">
      <c r="A60" s="45">
        <v>46660</v>
      </c>
      <c r="B60" s="46">
        <v>4.125</v>
      </c>
      <c r="C60" s="47">
        <v>99.272000000000006</v>
      </c>
      <c r="D60" s="47">
        <v>99.281999999999996</v>
      </c>
      <c r="E60" s="46">
        <v>-8.0000000000000002E-3</v>
      </c>
      <c r="F60" s="46">
        <v>4.2350000000000003</v>
      </c>
      <c r="G60" s="48">
        <f t="shared" si="0"/>
        <v>99.277000000000001</v>
      </c>
    </row>
    <row r="61" spans="1:7" x14ac:dyDescent="0.2">
      <c r="A61" s="41">
        <v>46675</v>
      </c>
      <c r="B61" s="42">
        <v>3.875</v>
      </c>
      <c r="C61" s="43">
        <v>99.171999999999997</v>
      </c>
      <c r="D61" s="43">
        <v>99.182000000000002</v>
      </c>
      <c r="E61" s="42">
        <v>-0.01</v>
      </c>
      <c r="F61" s="42">
        <v>4.2690000000000001</v>
      </c>
      <c r="G61" s="44">
        <f t="shared" si="0"/>
        <v>99.176999999999992</v>
      </c>
    </row>
    <row r="62" spans="1:7" x14ac:dyDescent="0.2">
      <c r="A62" s="45">
        <v>46691</v>
      </c>
      <c r="B62" s="46">
        <v>0.5</v>
      </c>
      <c r="C62" s="47">
        <v>95.231999999999999</v>
      </c>
      <c r="D62" s="47">
        <v>95.242000000000004</v>
      </c>
      <c r="E62" s="46">
        <v>-8.0000000000000002E-3</v>
      </c>
      <c r="F62" s="46">
        <v>4.2859999999999996</v>
      </c>
      <c r="G62" s="48">
        <f t="shared" si="0"/>
        <v>95.236999999999995</v>
      </c>
    </row>
    <row r="63" spans="1:7" x14ac:dyDescent="0.2">
      <c r="A63" s="41">
        <v>46691</v>
      </c>
      <c r="B63" s="42">
        <v>3.5</v>
      </c>
      <c r="C63" s="43">
        <v>99.025999999999996</v>
      </c>
      <c r="D63" s="43">
        <v>99.036000000000001</v>
      </c>
      <c r="E63" s="42">
        <v>-0.01</v>
      </c>
      <c r="F63" s="42">
        <v>4.2839999999999998</v>
      </c>
      <c r="G63" s="44">
        <f t="shared" si="0"/>
        <v>99.031000000000006</v>
      </c>
    </row>
    <row r="64" spans="1:7" x14ac:dyDescent="0.2">
      <c r="A64" s="45">
        <v>46691</v>
      </c>
      <c r="B64" s="46">
        <v>4.125</v>
      </c>
      <c r="C64" s="47">
        <v>99.254000000000005</v>
      </c>
      <c r="D64" s="47">
        <v>99.263999999999996</v>
      </c>
      <c r="E64" s="46">
        <v>-0.01</v>
      </c>
      <c r="F64" s="46">
        <v>4.274</v>
      </c>
      <c r="G64" s="48">
        <f t="shared" si="0"/>
        <v>99.259</v>
      </c>
    </row>
    <row r="65" spans="1:7" x14ac:dyDescent="0.2">
      <c r="A65" s="41">
        <v>46706</v>
      </c>
      <c r="B65" s="42">
        <v>4.125</v>
      </c>
      <c r="C65" s="43">
        <v>99.245999999999995</v>
      </c>
      <c r="D65" s="43">
        <v>99.256</v>
      </c>
      <c r="E65" s="42">
        <v>-0.01</v>
      </c>
      <c r="F65" s="42">
        <v>4.2889999999999997</v>
      </c>
      <c r="G65" s="44">
        <f t="shared" si="0"/>
        <v>99.251000000000005</v>
      </c>
    </row>
    <row r="66" spans="1:7" x14ac:dyDescent="0.2">
      <c r="A66" s="45">
        <v>46706</v>
      </c>
      <c r="B66" s="46">
        <v>6.125</v>
      </c>
      <c r="C66" s="47">
        <v>102.02200000000001</v>
      </c>
      <c r="D66" s="47">
        <v>102.032</v>
      </c>
      <c r="E66" s="46">
        <v>-1.2E-2</v>
      </c>
      <c r="F66" s="46">
        <v>4.3040000000000003</v>
      </c>
      <c r="G66" s="48">
        <f t="shared" si="0"/>
        <v>102.027</v>
      </c>
    </row>
    <row r="67" spans="1:7" x14ac:dyDescent="0.2">
      <c r="A67" s="41">
        <v>46706</v>
      </c>
      <c r="B67" s="42">
        <v>2.25</v>
      </c>
      <c r="C67" s="43">
        <v>97.194000000000003</v>
      </c>
      <c r="D67" s="43">
        <v>97.203999999999994</v>
      </c>
      <c r="E67" s="42">
        <v>-0.01</v>
      </c>
      <c r="F67" s="42">
        <v>4.2839999999999998</v>
      </c>
      <c r="G67" s="44">
        <f t="shared" si="0"/>
        <v>97.198999999999998</v>
      </c>
    </row>
    <row r="68" spans="1:7" x14ac:dyDescent="0.2">
      <c r="A68" s="45">
        <v>46721</v>
      </c>
      <c r="B68" s="46">
        <v>0.625</v>
      </c>
      <c r="C68" s="47">
        <v>95.182000000000002</v>
      </c>
      <c r="D68" s="47">
        <v>95.191999999999993</v>
      </c>
      <c r="E68" s="46">
        <v>-8.0000000000000002E-3</v>
      </c>
      <c r="F68" s="46">
        <v>4.2960000000000003</v>
      </c>
      <c r="G68" s="48">
        <f t="shared" ref="G68:G131" si="1">AVERAGE(C68,D68)</f>
        <v>95.186999999999998</v>
      </c>
    </row>
    <row r="69" spans="1:7" x14ac:dyDescent="0.2">
      <c r="A69" s="41">
        <v>46721</v>
      </c>
      <c r="B69" s="42">
        <v>3.375</v>
      </c>
      <c r="C69" s="43">
        <v>98.274000000000001</v>
      </c>
      <c r="D69" s="43">
        <v>98.284000000000006</v>
      </c>
      <c r="E69" s="42">
        <v>-0.01</v>
      </c>
      <c r="F69" s="42">
        <v>4.2969999999999997</v>
      </c>
      <c r="G69" s="44">
        <f t="shared" si="1"/>
        <v>98.278999999999996</v>
      </c>
    </row>
    <row r="70" spans="1:7" x14ac:dyDescent="0.2">
      <c r="A70" s="45">
        <v>46721</v>
      </c>
      <c r="B70" s="46">
        <v>3.875</v>
      </c>
      <c r="C70" s="47">
        <v>99.146000000000001</v>
      </c>
      <c r="D70" s="47">
        <v>99.156000000000006</v>
      </c>
      <c r="E70" s="46">
        <v>-0.01</v>
      </c>
      <c r="F70" s="46">
        <v>4.2949999999999999</v>
      </c>
      <c r="G70" s="48">
        <f t="shared" si="1"/>
        <v>99.15100000000001</v>
      </c>
    </row>
    <row r="71" spans="1:7" x14ac:dyDescent="0.2">
      <c r="A71" s="41">
        <v>46736</v>
      </c>
      <c r="B71" s="42">
        <v>4</v>
      </c>
      <c r="C71" s="43">
        <v>99.19</v>
      </c>
      <c r="D71" s="43">
        <v>99.2</v>
      </c>
      <c r="E71" s="42">
        <v>-0.01</v>
      </c>
      <c r="F71" s="42">
        <v>4.2990000000000004</v>
      </c>
      <c r="G71" s="44">
        <f t="shared" si="1"/>
        <v>99.194999999999993</v>
      </c>
    </row>
    <row r="72" spans="1:7" x14ac:dyDescent="0.2">
      <c r="A72" s="45">
        <v>46752</v>
      </c>
      <c r="B72" s="46">
        <v>0.625</v>
      </c>
      <c r="C72" s="47">
        <v>95.081999999999994</v>
      </c>
      <c r="D72" s="47">
        <v>95.091999999999999</v>
      </c>
      <c r="E72" s="46">
        <v>-0.01</v>
      </c>
      <c r="F72" s="46">
        <v>4.3179999999999996</v>
      </c>
      <c r="G72" s="48">
        <f t="shared" si="1"/>
        <v>95.086999999999989</v>
      </c>
    </row>
    <row r="73" spans="1:7" x14ac:dyDescent="0.2">
      <c r="A73" s="41">
        <v>46752</v>
      </c>
      <c r="B73" s="42">
        <v>3.375</v>
      </c>
      <c r="C73" s="43">
        <v>98.244</v>
      </c>
      <c r="D73" s="43">
        <v>98.254000000000005</v>
      </c>
      <c r="E73" s="42">
        <v>-1.2E-2</v>
      </c>
      <c r="F73" s="42">
        <v>4.3150000000000004</v>
      </c>
      <c r="G73" s="44">
        <f t="shared" si="1"/>
        <v>98.248999999999995</v>
      </c>
    </row>
    <row r="74" spans="1:7" x14ac:dyDescent="0.2">
      <c r="A74" s="45">
        <v>46752</v>
      </c>
      <c r="B74" s="46">
        <v>3.875</v>
      </c>
      <c r="C74" s="47">
        <v>99.13</v>
      </c>
      <c r="D74" s="47">
        <v>99.14</v>
      </c>
      <c r="E74" s="46">
        <v>-1.2E-2</v>
      </c>
      <c r="F74" s="46">
        <v>4.3120000000000003</v>
      </c>
      <c r="G74" s="48">
        <f t="shared" si="1"/>
        <v>99.134999999999991</v>
      </c>
    </row>
    <row r="75" spans="1:7" x14ac:dyDescent="0.2">
      <c r="A75" s="41">
        <v>46767</v>
      </c>
      <c r="B75" s="42">
        <v>4.25</v>
      </c>
      <c r="C75" s="43">
        <v>99.275999999999996</v>
      </c>
      <c r="D75" s="43">
        <v>99.286000000000001</v>
      </c>
      <c r="E75" s="42">
        <v>-1.4E-2</v>
      </c>
      <c r="F75" s="42">
        <v>4.3239999999999998</v>
      </c>
      <c r="G75" s="44">
        <f t="shared" si="1"/>
        <v>99.281000000000006</v>
      </c>
    </row>
    <row r="76" spans="1:7" x14ac:dyDescent="0.2">
      <c r="A76" s="45">
        <v>46783</v>
      </c>
      <c r="B76" s="46">
        <v>3.5</v>
      </c>
      <c r="C76" s="47">
        <v>98.27</v>
      </c>
      <c r="D76" s="47">
        <v>98.28</v>
      </c>
      <c r="E76" s="46">
        <v>-0.02</v>
      </c>
      <c r="F76" s="46">
        <v>4.3289999999999997</v>
      </c>
      <c r="G76" s="48">
        <f t="shared" si="1"/>
        <v>98.275000000000006</v>
      </c>
    </row>
    <row r="77" spans="1:7" x14ac:dyDescent="0.2">
      <c r="A77" s="41">
        <v>46783</v>
      </c>
      <c r="B77" s="42">
        <v>0.75</v>
      </c>
      <c r="C77" s="43">
        <v>95.04</v>
      </c>
      <c r="D77" s="43">
        <v>95.05</v>
      </c>
      <c r="E77" s="42">
        <v>-1.2E-2</v>
      </c>
      <c r="F77" s="42">
        <v>4.327</v>
      </c>
      <c r="G77" s="44">
        <f t="shared" si="1"/>
        <v>95.045000000000002</v>
      </c>
    </row>
    <row r="78" spans="1:7" x14ac:dyDescent="0.2">
      <c r="A78" s="45">
        <v>46798</v>
      </c>
      <c r="B78" s="46">
        <v>2.75</v>
      </c>
      <c r="C78" s="47">
        <v>97.244</v>
      </c>
      <c r="D78" s="47">
        <v>97.254000000000005</v>
      </c>
      <c r="E78" s="46">
        <v>-1.6E-2</v>
      </c>
      <c r="F78" s="46">
        <v>4.3319999999999999</v>
      </c>
      <c r="G78" s="48">
        <f t="shared" si="1"/>
        <v>97.248999999999995</v>
      </c>
    </row>
    <row r="79" spans="1:7" x14ac:dyDescent="0.2">
      <c r="A79" s="41">
        <v>46798</v>
      </c>
      <c r="B79" s="42">
        <v>4.25</v>
      </c>
      <c r="C79" s="43">
        <v>99.274000000000001</v>
      </c>
      <c r="D79" s="43">
        <v>99.284000000000006</v>
      </c>
      <c r="E79" s="42">
        <v>-1.2E-2</v>
      </c>
      <c r="F79" s="42">
        <v>4.327</v>
      </c>
      <c r="G79" s="44">
        <f t="shared" si="1"/>
        <v>99.278999999999996</v>
      </c>
    </row>
    <row r="80" spans="1:7" x14ac:dyDescent="0.2">
      <c r="A80" s="45">
        <v>46812</v>
      </c>
      <c r="B80" s="46">
        <v>1.125</v>
      </c>
      <c r="C80" s="47">
        <v>95.12</v>
      </c>
      <c r="D80" s="47">
        <v>95.13</v>
      </c>
      <c r="E80" s="46">
        <v>-0.01</v>
      </c>
      <c r="F80" s="46">
        <v>4.3330000000000002</v>
      </c>
      <c r="G80" s="48">
        <f t="shared" si="1"/>
        <v>95.125</v>
      </c>
    </row>
    <row r="81" spans="1:7" x14ac:dyDescent="0.2">
      <c r="A81" s="41">
        <v>46812</v>
      </c>
      <c r="B81" s="42">
        <v>3.375</v>
      </c>
      <c r="C81" s="43">
        <v>98.194000000000003</v>
      </c>
      <c r="D81" s="43">
        <v>98.203999999999994</v>
      </c>
      <c r="E81" s="42">
        <v>-1.6E-2</v>
      </c>
      <c r="F81" s="42">
        <v>4.3239999999999998</v>
      </c>
      <c r="G81" s="44">
        <f t="shared" si="1"/>
        <v>98.198999999999998</v>
      </c>
    </row>
    <row r="82" spans="1:7" x14ac:dyDescent="0.2">
      <c r="A82" s="45">
        <v>46812</v>
      </c>
      <c r="B82" s="46">
        <v>4</v>
      </c>
      <c r="C82" s="47">
        <v>99.153999999999996</v>
      </c>
      <c r="D82" s="47">
        <v>99.164000000000001</v>
      </c>
      <c r="E82" s="46">
        <v>-1.6E-2</v>
      </c>
      <c r="F82" s="46">
        <v>4.3380000000000001</v>
      </c>
      <c r="G82" s="48">
        <f t="shared" si="1"/>
        <v>99.158999999999992</v>
      </c>
    </row>
    <row r="83" spans="1:7" x14ac:dyDescent="0.2">
      <c r="A83" s="41">
        <v>46827</v>
      </c>
      <c r="B83" s="42">
        <v>3.875</v>
      </c>
      <c r="C83" s="43">
        <v>99.091999999999999</v>
      </c>
      <c r="D83" s="43">
        <v>99.102000000000004</v>
      </c>
      <c r="E83" s="42">
        <v>-1.4E-2</v>
      </c>
      <c r="F83" s="42">
        <v>4.3360000000000003</v>
      </c>
      <c r="G83" s="44">
        <f t="shared" si="1"/>
        <v>99.097000000000008</v>
      </c>
    </row>
    <row r="84" spans="1:7" x14ac:dyDescent="0.2">
      <c r="A84" s="45">
        <v>46843</v>
      </c>
      <c r="B84" s="46">
        <v>1.25</v>
      </c>
      <c r="C84" s="47">
        <v>95.091999999999999</v>
      </c>
      <c r="D84" s="47">
        <v>95.102000000000004</v>
      </c>
      <c r="E84" s="46">
        <v>-0.02</v>
      </c>
      <c r="F84" s="46">
        <v>4.3529999999999998</v>
      </c>
      <c r="G84" s="48">
        <f t="shared" si="1"/>
        <v>95.097000000000008</v>
      </c>
    </row>
    <row r="85" spans="1:7" x14ac:dyDescent="0.2">
      <c r="A85" s="41">
        <v>46843</v>
      </c>
      <c r="B85" s="42">
        <v>3.625</v>
      </c>
      <c r="C85" s="43">
        <v>98.275999999999996</v>
      </c>
      <c r="D85" s="43">
        <v>98.286000000000001</v>
      </c>
      <c r="E85" s="42">
        <v>-2.4E-2</v>
      </c>
      <c r="F85" s="42">
        <v>4.3540000000000001</v>
      </c>
      <c r="G85" s="44">
        <f t="shared" si="1"/>
        <v>98.281000000000006</v>
      </c>
    </row>
    <row r="86" spans="1:7" x14ac:dyDescent="0.2">
      <c r="A86" s="45">
        <v>46843</v>
      </c>
      <c r="B86" s="46">
        <v>3.875</v>
      </c>
      <c r="C86" s="47">
        <v>99.081999999999994</v>
      </c>
      <c r="D86" s="47">
        <v>99.091999999999999</v>
      </c>
      <c r="E86" s="46">
        <v>-1.4E-2</v>
      </c>
      <c r="F86" s="46">
        <v>4.3449999999999998</v>
      </c>
      <c r="G86" s="48">
        <f t="shared" si="1"/>
        <v>99.086999999999989</v>
      </c>
    </row>
    <row r="87" spans="1:7" x14ac:dyDescent="0.2">
      <c r="A87" s="41">
        <v>46858</v>
      </c>
      <c r="B87" s="42">
        <v>3.75</v>
      </c>
      <c r="C87" s="43">
        <v>99.001999999999995</v>
      </c>
      <c r="D87" s="43">
        <v>99.012</v>
      </c>
      <c r="E87" s="42">
        <v>-2.8000000000000001E-2</v>
      </c>
      <c r="F87" s="42">
        <v>4.3689999999999998</v>
      </c>
      <c r="G87" s="44">
        <f t="shared" si="1"/>
        <v>99.007000000000005</v>
      </c>
    </row>
    <row r="88" spans="1:7" x14ac:dyDescent="0.2">
      <c r="A88" s="45">
        <v>46873</v>
      </c>
      <c r="B88" s="46">
        <v>3.5</v>
      </c>
      <c r="C88" s="47">
        <v>98.194000000000003</v>
      </c>
      <c r="D88" s="47">
        <v>98.203999999999994</v>
      </c>
      <c r="E88" s="46">
        <v>-1.7999999999999999E-2</v>
      </c>
      <c r="F88" s="46">
        <v>4.3550000000000004</v>
      </c>
      <c r="G88" s="48">
        <f t="shared" si="1"/>
        <v>98.198999999999998</v>
      </c>
    </row>
    <row r="89" spans="1:7" x14ac:dyDescent="0.2">
      <c r="A89" s="41">
        <v>46873</v>
      </c>
      <c r="B89" s="42">
        <v>3.75</v>
      </c>
      <c r="C89" s="43">
        <v>99</v>
      </c>
      <c r="D89" s="43">
        <v>99.01</v>
      </c>
      <c r="E89" s="42">
        <v>-2.4E-2</v>
      </c>
      <c r="F89" s="42">
        <v>4.3579999999999997</v>
      </c>
      <c r="G89" s="44">
        <f t="shared" si="1"/>
        <v>99.004999999999995</v>
      </c>
    </row>
    <row r="90" spans="1:7" x14ac:dyDescent="0.2">
      <c r="A90" s="45">
        <v>46873</v>
      </c>
      <c r="B90" s="46">
        <v>1.25</v>
      </c>
      <c r="C90" s="47">
        <v>95.013999999999996</v>
      </c>
      <c r="D90" s="47">
        <v>95.024000000000001</v>
      </c>
      <c r="E90" s="46">
        <v>-1.6E-2</v>
      </c>
      <c r="F90" s="46">
        <v>4.3540000000000001</v>
      </c>
      <c r="G90" s="48">
        <f t="shared" si="1"/>
        <v>95.019000000000005</v>
      </c>
    </row>
    <row r="91" spans="1:7" x14ac:dyDescent="0.2">
      <c r="A91" s="41">
        <v>46888</v>
      </c>
      <c r="B91" s="42">
        <v>2.875</v>
      </c>
      <c r="C91" s="43">
        <v>97.18</v>
      </c>
      <c r="D91" s="43">
        <v>97.19</v>
      </c>
      <c r="E91" s="42">
        <v>-1.6E-2</v>
      </c>
      <c r="F91" s="42">
        <v>4.3559999999999999</v>
      </c>
      <c r="G91" s="44">
        <f t="shared" si="1"/>
        <v>97.185000000000002</v>
      </c>
    </row>
    <row r="92" spans="1:7" x14ac:dyDescent="0.2">
      <c r="A92" s="45">
        <v>46888</v>
      </c>
      <c r="B92" s="46">
        <v>3.75</v>
      </c>
      <c r="C92" s="47">
        <v>98.316000000000003</v>
      </c>
      <c r="D92" s="47">
        <v>99.006</v>
      </c>
      <c r="E92" s="46">
        <v>-0.69799999999999995</v>
      </c>
      <c r="F92" s="46">
        <v>4.3490000000000002</v>
      </c>
      <c r="G92" s="48">
        <f t="shared" si="1"/>
        <v>98.661000000000001</v>
      </c>
    </row>
    <row r="93" spans="1:7" x14ac:dyDescent="0.2">
      <c r="A93" s="41">
        <v>46904</v>
      </c>
      <c r="B93" s="42">
        <v>1.25</v>
      </c>
      <c r="C93" s="43">
        <v>94.254000000000005</v>
      </c>
      <c r="D93" s="43">
        <v>94.263999999999996</v>
      </c>
      <c r="E93" s="42">
        <v>-1.7999999999999999E-2</v>
      </c>
      <c r="F93" s="42">
        <v>4.3620000000000001</v>
      </c>
      <c r="G93" s="44">
        <f t="shared" si="1"/>
        <v>94.259</v>
      </c>
    </row>
    <row r="94" spans="1:7" x14ac:dyDescent="0.2">
      <c r="A94" s="45">
        <v>46904</v>
      </c>
      <c r="B94" s="46">
        <v>3.625</v>
      </c>
      <c r="C94" s="47">
        <v>98.233999999999995</v>
      </c>
      <c r="D94" s="47">
        <v>98.244</v>
      </c>
      <c r="E94" s="46">
        <v>-0.02</v>
      </c>
      <c r="F94" s="46">
        <v>4.3650000000000002</v>
      </c>
      <c r="G94" s="48">
        <f t="shared" si="1"/>
        <v>98.239000000000004</v>
      </c>
    </row>
    <row r="95" spans="1:7" x14ac:dyDescent="0.2">
      <c r="A95" s="41">
        <v>46904</v>
      </c>
      <c r="B95" s="42">
        <v>4</v>
      </c>
      <c r="C95" s="43">
        <v>99.116</v>
      </c>
      <c r="D95" s="43">
        <v>99.126000000000005</v>
      </c>
      <c r="E95" s="42">
        <v>-0.02</v>
      </c>
      <c r="F95" s="42">
        <v>4.359</v>
      </c>
      <c r="G95" s="44">
        <f t="shared" si="1"/>
        <v>99.121000000000009</v>
      </c>
    </row>
    <row r="96" spans="1:7" x14ac:dyDescent="0.2">
      <c r="A96" s="45">
        <v>46919</v>
      </c>
      <c r="B96" s="46">
        <v>3.875</v>
      </c>
      <c r="C96" s="47">
        <v>99.04</v>
      </c>
      <c r="D96" s="47">
        <v>99.05</v>
      </c>
      <c r="E96" s="46">
        <v>-0.02</v>
      </c>
      <c r="F96" s="46">
        <v>4.3689999999999998</v>
      </c>
      <c r="G96" s="48">
        <f t="shared" si="1"/>
        <v>99.045000000000002</v>
      </c>
    </row>
    <row r="97" spans="1:7" x14ac:dyDescent="0.2">
      <c r="A97" s="41">
        <v>46934</v>
      </c>
      <c r="B97" s="42">
        <v>1.25</v>
      </c>
      <c r="C97" s="43">
        <v>94.17</v>
      </c>
      <c r="D97" s="43">
        <v>94.18</v>
      </c>
      <c r="E97" s="42">
        <v>-2.1999999999999999E-2</v>
      </c>
      <c r="F97" s="42">
        <v>4.38</v>
      </c>
      <c r="G97" s="44">
        <f t="shared" si="1"/>
        <v>94.175000000000011</v>
      </c>
    </row>
    <row r="98" spans="1:7" x14ac:dyDescent="0.2">
      <c r="A98" s="45">
        <v>46934</v>
      </c>
      <c r="B98" s="46">
        <v>4</v>
      </c>
      <c r="C98" s="47">
        <v>99.102000000000004</v>
      </c>
      <c r="D98" s="47">
        <v>99.111999999999995</v>
      </c>
      <c r="E98" s="46">
        <v>-2.8000000000000001E-2</v>
      </c>
      <c r="F98" s="46">
        <v>4.37</v>
      </c>
      <c r="G98" s="48">
        <f t="shared" si="1"/>
        <v>99.106999999999999</v>
      </c>
    </row>
    <row r="99" spans="1:7" x14ac:dyDescent="0.2">
      <c r="A99" s="41">
        <v>46934</v>
      </c>
      <c r="B99" s="42">
        <v>4.125</v>
      </c>
      <c r="C99" s="43">
        <v>99.17</v>
      </c>
      <c r="D99" s="43">
        <v>99.18</v>
      </c>
      <c r="E99" s="42">
        <v>-2.7E-2</v>
      </c>
      <c r="F99" s="42">
        <v>4.3739999999999997</v>
      </c>
      <c r="G99" s="44">
        <f t="shared" si="1"/>
        <v>99.175000000000011</v>
      </c>
    </row>
    <row r="100" spans="1:7" x14ac:dyDescent="0.2">
      <c r="A100" s="45">
        <v>46949</v>
      </c>
      <c r="B100" s="46">
        <v>3.875</v>
      </c>
      <c r="C100" s="47">
        <v>99.022000000000006</v>
      </c>
      <c r="D100" s="47">
        <v>99.031999999999996</v>
      </c>
      <c r="E100" s="46">
        <v>-2.8000000000000001E-2</v>
      </c>
      <c r="F100" s="46">
        <v>4.3789999999999996</v>
      </c>
      <c r="G100" s="48">
        <f t="shared" si="1"/>
        <v>99.027000000000001</v>
      </c>
    </row>
    <row r="101" spans="1:7" x14ac:dyDescent="0.2">
      <c r="A101" s="41">
        <v>46965</v>
      </c>
      <c r="B101" s="42">
        <v>1</v>
      </c>
      <c r="C101" s="43">
        <v>93.27</v>
      </c>
      <c r="D101" s="43">
        <v>93.28</v>
      </c>
      <c r="E101" s="42">
        <v>-0.02</v>
      </c>
      <c r="F101" s="42">
        <v>4.3769999999999998</v>
      </c>
      <c r="G101" s="44">
        <f t="shared" si="1"/>
        <v>93.275000000000006</v>
      </c>
    </row>
    <row r="102" spans="1:7" x14ac:dyDescent="0.2">
      <c r="A102" s="45">
        <v>46965</v>
      </c>
      <c r="B102" s="46">
        <v>4.125</v>
      </c>
      <c r="C102" s="47">
        <v>99.164000000000001</v>
      </c>
      <c r="D102" s="47">
        <v>99.174000000000007</v>
      </c>
      <c r="E102" s="46">
        <v>-2.5999999999999999E-2</v>
      </c>
      <c r="F102" s="46">
        <v>4.3730000000000002</v>
      </c>
      <c r="G102" s="48">
        <f t="shared" si="1"/>
        <v>99.169000000000011</v>
      </c>
    </row>
    <row r="103" spans="1:7" x14ac:dyDescent="0.2">
      <c r="A103" s="41">
        <v>46965</v>
      </c>
      <c r="B103" s="42">
        <v>4.25</v>
      </c>
      <c r="C103" s="43">
        <v>99.231999999999999</v>
      </c>
      <c r="D103" s="43">
        <v>99.242000000000004</v>
      </c>
      <c r="E103" s="42">
        <v>-2.9000000000000001E-2</v>
      </c>
      <c r="F103" s="42">
        <v>4.3819999999999997</v>
      </c>
      <c r="G103" s="44">
        <f t="shared" si="1"/>
        <v>99.236999999999995</v>
      </c>
    </row>
    <row r="104" spans="1:7" x14ac:dyDescent="0.2">
      <c r="A104" s="45">
        <v>46980</v>
      </c>
      <c r="B104" s="46">
        <v>2.875</v>
      </c>
      <c r="C104" s="47">
        <v>97.054000000000002</v>
      </c>
      <c r="D104" s="47">
        <v>97.063999999999993</v>
      </c>
      <c r="E104" s="46">
        <v>-2.5999999999999999E-2</v>
      </c>
      <c r="F104" s="46">
        <v>4.3860000000000001</v>
      </c>
      <c r="G104" s="48">
        <f t="shared" si="1"/>
        <v>97.058999999999997</v>
      </c>
    </row>
    <row r="105" spans="1:7" x14ac:dyDescent="0.2">
      <c r="A105" s="41">
        <v>46980</v>
      </c>
      <c r="B105" s="42">
        <v>3.625</v>
      </c>
      <c r="C105" s="43">
        <v>98.176000000000002</v>
      </c>
      <c r="D105" s="43">
        <v>98.186000000000007</v>
      </c>
      <c r="E105" s="42">
        <v>-2.5999999999999999E-2</v>
      </c>
      <c r="F105" s="42">
        <v>4.3879999999999999</v>
      </c>
      <c r="G105" s="44">
        <f t="shared" si="1"/>
        <v>98.181000000000012</v>
      </c>
    </row>
    <row r="106" spans="1:7" x14ac:dyDescent="0.2">
      <c r="A106" s="45">
        <v>46980</v>
      </c>
      <c r="B106" s="46">
        <v>5.5</v>
      </c>
      <c r="C106" s="47">
        <v>101.31399999999999</v>
      </c>
      <c r="D106" s="47">
        <v>102.004</v>
      </c>
      <c r="E106" s="46">
        <v>-0.70799999999999996</v>
      </c>
      <c r="F106" s="46">
        <v>4.4089999999999998</v>
      </c>
      <c r="G106" s="48">
        <f t="shared" si="1"/>
        <v>101.65899999999999</v>
      </c>
    </row>
    <row r="107" spans="1:7" x14ac:dyDescent="0.2">
      <c r="A107" s="41">
        <v>46996</v>
      </c>
      <c r="B107" s="42">
        <v>1.125</v>
      </c>
      <c r="C107" s="43">
        <v>93.254000000000005</v>
      </c>
      <c r="D107" s="43">
        <v>93.263999999999996</v>
      </c>
      <c r="E107" s="42">
        <v>-2.1999999999999999E-2</v>
      </c>
      <c r="F107" s="42">
        <v>4.391</v>
      </c>
      <c r="G107" s="44">
        <f t="shared" si="1"/>
        <v>93.259</v>
      </c>
    </row>
    <row r="108" spans="1:7" x14ac:dyDescent="0.2">
      <c r="A108" s="45">
        <v>46996</v>
      </c>
      <c r="B108" s="46">
        <v>4.125</v>
      </c>
      <c r="C108" s="47">
        <v>99.150999999999996</v>
      </c>
      <c r="D108" s="47">
        <v>99.162000000000006</v>
      </c>
      <c r="E108" s="46">
        <v>-2.9000000000000001E-2</v>
      </c>
      <c r="F108" s="46">
        <v>4.3849999999999998</v>
      </c>
      <c r="G108" s="48">
        <f t="shared" si="1"/>
        <v>99.156499999999994</v>
      </c>
    </row>
    <row r="109" spans="1:7" x14ac:dyDescent="0.2">
      <c r="A109" s="41">
        <v>46996</v>
      </c>
      <c r="B109" s="42">
        <v>4.375</v>
      </c>
      <c r="C109" s="43">
        <v>99.302000000000007</v>
      </c>
      <c r="D109" s="43">
        <v>99.311999999999998</v>
      </c>
      <c r="E109" s="42">
        <v>-0.70799999999999996</v>
      </c>
      <c r="F109" s="42">
        <v>4.3869999999999996</v>
      </c>
      <c r="G109" s="44">
        <f t="shared" si="1"/>
        <v>99.307000000000002</v>
      </c>
    </row>
    <row r="110" spans="1:7" x14ac:dyDescent="0.2">
      <c r="A110" s="45">
        <v>47011</v>
      </c>
      <c r="B110" s="46">
        <v>3.375</v>
      </c>
      <c r="C110" s="47">
        <v>98</v>
      </c>
      <c r="D110" s="47">
        <v>98.01</v>
      </c>
      <c r="E110" s="46">
        <v>-2.5999999999999999E-2</v>
      </c>
      <c r="F110" s="46">
        <v>4.3959999999999999</v>
      </c>
      <c r="G110" s="48">
        <f t="shared" si="1"/>
        <v>98.004999999999995</v>
      </c>
    </row>
    <row r="111" spans="1:7" x14ac:dyDescent="0.2">
      <c r="A111" s="49">
        <v>47026</v>
      </c>
      <c r="B111" s="50">
        <v>4.625</v>
      </c>
      <c r="C111" s="51">
        <v>100.13</v>
      </c>
      <c r="D111" s="51">
        <v>100.14</v>
      </c>
      <c r="E111" s="50">
        <v>-3.4000000000000002E-2</v>
      </c>
      <c r="F111" s="50">
        <v>4.4009999999999998</v>
      </c>
      <c r="G111" s="52">
        <f t="shared" si="1"/>
        <v>100.13499999999999</v>
      </c>
    </row>
    <row r="112" spans="1:7" x14ac:dyDescent="0.2">
      <c r="A112" s="45">
        <v>47026</v>
      </c>
      <c r="B112" s="46">
        <v>1.25</v>
      </c>
      <c r="C112" s="47">
        <v>93.251999999999995</v>
      </c>
      <c r="D112" s="47">
        <v>93.262</v>
      </c>
      <c r="E112" s="46">
        <v>-2.4E-2</v>
      </c>
      <c r="F112" s="46">
        <v>4.3959999999999999</v>
      </c>
      <c r="G112" s="48">
        <f t="shared" si="1"/>
        <v>93.257000000000005</v>
      </c>
    </row>
    <row r="113" spans="1:7" x14ac:dyDescent="0.2">
      <c r="A113" s="41">
        <v>47041</v>
      </c>
      <c r="B113" s="42">
        <v>3.5</v>
      </c>
      <c r="C113" s="43">
        <v>98.05</v>
      </c>
      <c r="D113" s="43">
        <v>98.06</v>
      </c>
      <c r="E113" s="42">
        <v>-2.5999999999999999E-2</v>
      </c>
      <c r="F113" s="42">
        <v>4.4039999999999999</v>
      </c>
      <c r="G113" s="44">
        <f t="shared" si="1"/>
        <v>98.055000000000007</v>
      </c>
    </row>
    <row r="114" spans="1:7" x14ac:dyDescent="0.2">
      <c r="A114" s="45">
        <v>47057</v>
      </c>
      <c r="B114" s="46">
        <v>1.375</v>
      </c>
      <c r="C114" s="47">
        <v>93.25</v>
      </c>
      <c r="D114" s="47">
        <v>93.26</v>
      </c>
      <c r="E114" s="46">
        <v>-2.5999999999999999E-2</v>
      </c>
      <c r="F114" s="46">
        <v>4.4080000000000004</v>
      </c>
      <c r="G114" s="48">
        <f t="shared" si="1"/>
        <v>93.254999999999995</v>
      </c>
    </row>
    <row r="115" spans="1:7" x14ac:dyDescent="0.2">
      <c r="A115" s="41">
        <v>47057</v>
      </c>
      <c r="B115" s="42">
        <v>4.875</v>
      </c>
      <c r="C115" s="43">
        <v>100.29600000000001</v>
      </c>
      <c r="D115" s="43">
        <v>100.306</v>
      </c>
      <c r="E115" s="42">
        <v>-0.71</v>
      </c>
      <c r="F115" s="42">
        <v>4.4009999999999998</v>
      </c>
      <c r="G115" s="44">
        <f t="shared" si="1"/>
        <v>100.301</v>
      </c>
    </row>
    <row r="116" spans="1:7" x14ac:dyDescent="0.2">
      <c r="A116" s="45">
        <v>47072</v>
      </c>
      <c r="B116" s="46">
        <v>3.125</v>
      </c>
      <c r="C116" s="47">
        <v>97.093999999999994</v>
      </c>
      <c r="D116" s="47">
        <v>97.103999999999999</v>
      </c>
      <c r="E116" s="46">
        <v>-0.03</v>
      </c>
      <c r="F116" s="46">
        <v>4.41</v>
      </c>
      <c r="G116" s="48">
        <f t="shared" si="1"/>
        <v>97.09899999999999</v>
      </c>
    </row>
    <row r="117" spans="1:7" x14ac:dyDescent="0.2">
      <c r="A117" s="41">
        <v>47072</v>
      </c>
      <c r="B117" s="42">
        <v>3.5</v>
      </c>
      <c r="C117" s="43">
        <v>98.024000000000001</v>
      </c>
      <c r="D117" s="43">
        <v>98.034000000000006</v>
      </c>
      <c r="E117" s="42">
        <v>-0.03</v>
      </c>
      <c r="F117" s="42">
        <v>4.4089999999999998</v>
      </c>
      <c r="G117" s="44">
        <f t="shared" si="1"/>
        <v>98.028999999999996</v>
      </c>
    </row>
    <row r="118" spans="1:7" x14ac:dyDescent="0.2">
      <c r="A118" s="45">
        <v>47072</v>
      </c>
      <c r="B118" s="46">
        <v>5.25</v>
      </c>
      <c r="C118" s="47">
        <v>101.226</v>
      </c>
      <c r="D118" s="47">
        <v>101.236</v>
      </c>
      <c r="E118" s="46">
        <v>-3.4000000000000002E-2</v>
      </c>
      <c r="F118" s="46">
        <v>4.407</v>
      </c>
      <c r="G118" s="48">
        <f t="shared" si="1"/>
        <v>101.23099999999999</v>
      </c>
    </row>
    <row r="119" spans="1:7" x14ac:dyDescent="0.2">
      <c r="A119" s="41">
        <v>47087</v>
      </c>
      <c r="B119" s="42">
        <v>1.5</v>
      </c>
      <c r="C119" s="43">
        <v>93.26</v>
      </c>
      <c r="D119" s="43">
        <v>93.27</v>
      </c>
      <c r="E119" s="42">
        <v>-2.5999999999999999E-2</v>
      </c>
      <c r="F119" s="42">
        <v>4.4119999999999999</v>
      </c>
      <c r="G119" s="44">
        <f t="shared" si="1"/>
        <v>93.265000000000001</v>
      </c>
    </row>
    <row r="120" spans="1:7" x14ac:dyDescent="0.2">
      <c r="A120" s="45">
        <v>47087</v>
      </c>
      <c r="B120" s="46">
        <v>4.375</v>
      </c>
      <c r="C120" s="47">
        <v>99.286000000000001</v>
      </c>
      <c r="D120" s="47">
        <v>99.296000000000006</v>
      </c>
      <c r="E120" s="46">
        <v>-0.03</v>
      </c>
      <c r="F120" s="46">
        <v>4.4050000000000002</v>
      </c>
      <c r="G120" s="48">
        <f t="shared" si="1"/>
        <v>99.290999999999997</v>
      </c>
    </row>
    <row r="121" spans="1:7" x14ac:dyDescent="0.2">
      <c r="A121" s="41">
        <v>47102</v>
      </c>
      <c r="B121" s="42">
        <v>3.5</v>
      </c>
      <c r="C121" s="43">
        <v>98</v>
      </c>
      <c r="D121" s="43">
        <v>98.01</v>
      </c>
      <c r="E121" s="42">
        <v>-3.2000000000000001E-2</v>
      </c>
      <c r="F121" s="42">
        <v>4.4130000000000003</v>
      </c>
      <c r="G121" s="44">
        <f t="shared" si="1"/>
        <v>98.004999999999995</v>
      </c>
    </row>
    <row r="122" spans="1:7" x14ac:dyDescent="0.2">
      <c r="A122" s="45">
        <v>47118</v>
      </c>
      <c r="B122" s="46">
        <v>3.75</v>
      </c>
      <c r="C122" s="47">
        <v>98.16</v>
      </c>
      <c r="D122" s="47">
        <v>98.17</v>
      </c>
      <c r="E122" s="46">
        <v>-3.2000000000000001E-2</v>
      </c>
      <c r="F122" s="46">
        <v>4.4189999999999996</v>
      </c>
      <c r="G122" s="48">
        <f t="shared" si="1"/>
        <v>98.164999999999992</v>
      </c>
    </row>
    <row r="123" spans="1:7" x14ac:dyDescent="0.2">
      <c r="A123" s="41">
        <v>47118</v>
      </c>
      <c r="B123" s="42">
        <v>1.375</v>
      </c>
      <c r="C123" s="43">
        <v>93.096000000000004</v>
      </c>
      <c r="D123" s="43">
        <v>93.105999999999995</v>
      </c>
      <c r="E123" s="42">
        <v>-2.8000000000000001E-2</v>
      </c>
      <c r="F123" s="42">
        <v>4.42</v>
      </c>
      <c r="G123" s="44">
        <f t="shared" si="1"/>
        <v>93.100999999999999</v>
      </c>
    </row>
    <row r="124" spans="1:7" x14ac:dyDescent="0.2">
      <c r="A124" s="45">
        <v>47133</v>
      </c>
      <c r="B124" s="46">
        <v>3.5</v>
      </c>
      <c r="C124" s="47">
        <v>97.29</v>
      </c>
      <c r="D124" s="47">
        <v>97.3</v>
      </c>
      <c r="E124" s="46">
        <v>-0.71199999999999997</v>
      </c>
      <c r="F124" s="46">
        <v>4.4260000000000002</v>
      </c>
      <c r="G124" s="48">
        <f t="shared" si="1"/>
        <v>97.295000000000002</v>
      </c>
    </row>
    <row r="125" spans="1:7" x14ac:dyDescent="0.2">
      <c r="A125" s="41">
        <v>47149</v>
      </c>
      <c r="B125" s="42">
        <v>1.75</v>
      </c>
      <c r="C125" s="43">
        <v>93.286000000000001</v>
      </c>
      <c r="D125" s="43">
        <v>93.296000000000006</v>
      </c>
      <c r="E125" s="42">
        <v>-0.71399999999999997</v>
      </c>
      <c r="F125" s="42">
        <v>4.4329999999999998</v>
      </c>
      <c r="G125" s="44">
        <f t="shared" si="1"/>
        <v>93.290999999999997</v>
      </c>
    </row>
    <row r="126" spans="1:7" x14ac:dyDescent="0.2">
      <c r="A126" s="45">
        <v>47149</v>
      </c>
      <c r="B126" s="46">
        <v>4</v>
      </c>
      <c r="C126" s="47">
        <v>99</v>
      </c>
      <c r="D126" s="47">
        <v>99.01</v>
      </c>
      <c r="E126" s="46">
        <v>-3.2000000000000001E-2</v>
      </c>
      <c r="F126" s="46">
        <v>4.4269999999999996</v>
      </c>
      <c r="G126" s="48">
        <f t="shared" si="1"/>
        <v>99.004999999999995</v>
      </c>
    </row>
    <row r="127" spans="1:7" x14ac:dyDescent="0.2">
      <c r="A127" s="41">
        <v>47164</v>
      </c>
      <c r="B127" s="42">
        <v>2.625</v>
      </c>
      <c r="C127" s="43">
        <v>95.26</v>
      </c>
      <c r="D127" s="43">
        <v>95.27</v>
      </c>
      <c r="E127" s="42">
        <v>-3.2000000000000001E-2</v>
      </c>
      <c r="F127" s="42">
        <v>4.4329999999999998</v>
      </c>
      <c r="G127" s="44">
        <f t="shared" si="1"/>
        <v>95.265000000000001</v>
      </c>
    </row>
    <row r="128" spans="1:7" x14ac:dyDescent="0.2">
      <c r="A128" s="45">
        <v>47164</v>
      </c>
      <c r="B128" s="46">
        <v>3.5</v>
      </c>
      <c r="C128" s="47">
        <v>97.263999999999996</v>
      </c>
      <c r="D128" s="47">
        <v>97.274000000000001</v>
      </c>
      <c r="E128" s="46">
        <v>-3.5999999999999997E-2</v>
      </c>
      <c r="F128" s="46">
        <v>4.431</v>
      </c>
      <c r="G128" s="48">
        <f t="shared" si="1"/>
        <v>97.269000000000005</v>
      </c>
    </row>
    <row r="129" spans="1:7" x14ac:dyDescent="0.2">
      <c r="A129" s="41">
        <v>47164</v>
      </c>
      <c r="B129" s="42">
        <v>5.25</v>
      </c>
      <c r="C129" s="43">
        <v>102.032</v>
      </c>
      <c r="D129" s="43">
        <v>102.042</v>
      </c>
      <c r="E129" s="42">
        <v>-3.4000000000000002E-2</v>
      </c>
      <c r="F129" s="42">
        <v>4.3230000000000004</v>
      </c>
      <c r="G129" s="44">
        <f t="shared" si="1"/>
        <v>102.03700000000001</v>
      </c>
    </row>
    <row r="130" spans="1:7" x14ac:dyDescent="0.2">
      <c r="A130" s="45">
        <v>47177</v>
      </c>
      <c r="B130" s="46">
        <v>1.875</v>
      </c>
      <c r="C130" s="47">
        <v>94.004000000000005</v>
      </c>
      <c r="D130" s="47">
        <v>94.013999999999996</v>
      </c>
      <c r="E130" s="46">
        <v>-0.03</v>
      </c>
      <c r="F130" s="46">
        <v>4.4219999999999997</v>
      </c>
      <c r="G130" s="48">
        <f t="shared" si="1"/>
        <v>94.009</v>
      </c>
    </row>
    <row r="131" spans="1:7" x14ac:dyDescent="0.2">
      <c r="A131" s="41">
        <v>47177</v>
      </c>
      <c r="B131" s="42">
        <v>4.25</v>
      </c>
      <c r="C131" s="43">
        <v>99.182000000000002</v>
      </c>
      <c r="D131" s="43">
        <v>99.191999999999993</v>
      </c>
      <c r="E131" s="42">
        <v>-3.4000000000000002E-2</v>
      </c>
      <c r="F131" s="42">
        <v>4.42</v>
      </c>
      <c r="G131" s="44">
        <f t="shared" si="1"/>
        <v>99.186999999999998</v>
      </c>
    </row>
    <row r="132" spans="1:7" x14ac:dyDescent="0.2">
      <c r="A132" s="45">
        <v>47192</v>
      </c>
      <c r="B132" s="46">
        <v>3.5</v>
      </c>
      <c r="C132" s="47">
        <v>97.251999999999995</v>
      </c>
      <c r="D132" s="47">
        <v>97.262</v>
      </c>
      <c r="E132" s="46">
        <v>-3.2000000000000001E-2</v>
      </c>
      <c r="F132" s="46">
        <v>4.4180000000000001</v>
      </c>
      <c r="G132" s="48">
        <f t="shared" ref="G132:G195" si="2">AVERAGE(C132,D132)</f>
        <v>97.257000000000005</v>
      </c>
    </row>
    <row r="133" spans="1:7" x14ac:dyDescent="0.2">
      <c r="A133" s="41">
        <v>47208</v>
      </c>
      <c r="B133" s="42">
        <v>4.125</v>
      </c>
      <c r="C133" s="43">
        <v>99.073999999999998</v>
      </c>
      <c r="D133" s="43">
        <v>99.084000000000003</v>
      </c>
      <c r="E133" s="42">
        <v>-3.7999999999999999E-2</v>
      </c>
      <c r="F133" s="42">
        <v>4.4290000000000003</v>
      </c>
      <c r="G133" s="44">
        <f t="shared" si="2"/>
        <v>99.079000000000008</v>
      </c>
    </row>
    <row r="134" spans="1:7" x14ac:dyDescent="0.2">
      <c r="A134" s="45">
        <v>47208</v>
      </c>
      <c r="B134" s="46">
        <v>2.375</v>
      </c>
      <c r="C134" s="47">
        <v>95</v>
      </c>
      <c r="D134" s="47">
        <v>95.01</v>
      </c>
      <c r="E134" s="46">
        <v>-3.4000000000000002E-2</v>
      </c>
      <c r="F134" s="46">
        <v>4.4359999999999999</v>
      </c>
      <c r="G134" s="48">
        <f t="shared" si="2"/>
        <v>95.004999999999995</v>
      </c>
    </row>
    <row r="135" spans="1:7" x14ac:dyDescent="0.2">
      <c r="A135" s="41">
        <v>47223</v>
      </c>
      <c r="B135" s="42">
        <v>3.875</v>
      </c>
      <c r="C135" s="43">
        <v>98.191999999999993</v>
      </c>
      <c r="D135" s="43">
        <v>98.201999999999998</v>
      </c>
      <c r="E135" s="42">
        <v>-3.4000000000000002E-2</v>
      </c>
      <c r="F135" s="42">
        <v>4.4320000000000004</v>
      </c>
      <c r="G135" s="44">
        <f t="shared" si="2"/>
        <v>98.197000000000003</v>
      </c>
    </row>
    <row r="136" spans="1:7" x14ac:dyDescent="0.2">
      <c r="A136" s="45">
        <v>47238</v>
      </c>
      <c r="B136" s="46">
        <v>2.875</v>
      </c>
      <c r="C136" s="47">
        <v>96.024000000000001</v>
      </c>
      <c r="D136" s="47">
        <v>96.034000000000006</v>
      </c>
      <c r="E136" s="46">
        <v>-3.5999999999999997E-2</v>
      </c>
      <c r="F136" s="46">
        <v>4.4400000000000004</v>
      </c>
      <c r="G136" s="48">
        <f t="shared" si="2"/>
        <v>96.028999999999996</v>
      </c>
    </row>
    <row r="137" spans="1:7" x14ac:dyDescent="0.2">
      <c r="A137" s="41">
        <v>47238</v>
      </c>
      <c r="B137" s="42">
        <v>4.625</v>
      </c>
      <c r="C137" s="43">
        <v>100.14</v>
      </c>
      <c r="D137" s="43">
        <v>100.15</v>
      </c>
      <c r="E137" s="42">
        <v>-3.5999999999999997E-2</v>
      </c>
      <c r="F137" s="42">
        <v>4.4340000000000002</v>
      </c>
      <c r="G137" s="44">
        <f t="shared" si="2"/>
        <v>100.14500000000001</v>
      </c>
    </row>
    <row r="138" spans="1:7" x14ac:dyDescent="0.2">
      <c r="A138" s="45">
        <v>47253</v>
      </c>
      <c r="B138" s="46">
        <v>2.375</v>
      </c>
      <c r="C138" s="47">
        <v>94.245999999999995</v>
      </c>
      <c r="D138" s="47">
        <v>94.256</v>
      </c>
      <c r="E138" s="46">
        <v>-3.7999999999999999E-2</v>
      </c>
      <c r="F138" s="46">
        <v>4.4359999999999999</v>
      </c>
      <c r="G138" s="48">
        <f t="shared" si="2"/>
        <v>94.251000000000005</v>
      </c>
    </row>
    <row r="139" spans="1:7" x14ac:dyDescent="0.2">
      <c r="A139" s="41">
        <v>47253</v>
      </c>
      <c r="B139" s="42">
        <v>3.875</v>
      </c>
      <c r="C139" s="43">
        <v>98.173000000000002</v>
      </c>
      <c r="D139" s="43">
        <v>98.183000000000007</v>
      </c>
      <c r="E139" s="42">
        <v>-3.7999999999999999E-2</v>
      </c>
      <c r="F139" s="42">
        <v>4.4390000000000001</v>
      </c>
      <c r="G139" s="44">
        <f t="shared" si="2"/>
        <v>98.177999999999997</v>
      </c>
    </row>
    <row r="140" spans="1:7" x14ac:dyDescent="0.2">
      <c r="A140" s="45">
        <v>47269</v>
      </c>
      <c r="B140" s="46">
        <v>2.75</v>
      </c>
      <c r="C140" s="47">
        <v>95.201999999999998</v>
      </c>
      <c r="D140" s="47">
        <v>95.212000000000003</v>
      </c>
      <c r="E140" s="46">
        <v>-0.04</v>
      </c>
      <c r="F140" s="46">
        <v>4.4450000000000003</v>
      </c>
      <c r="G140" s="48">
        <f t="shared" si="2"/>
        <v>95.206999999999994</v>
      </c>
    </row>
    <row r="141" spans="1:7" x14ac:dyDescent="0.2">
      <c r="A141" s="41">
        <v>47269</v>
      </c>
      <c r="B141" s="42">
        <v>4.5</v>
      </c>
      <c r="C141" s="43">
        <v>100.03400000000001</v>
      </c>
      <c r="D141" s="43">
        <v>100.044</v>
      </c>
      <c r="E141" s="42">
        <v>-0.04</v>
      </c>
      <c r="F141" s="42">
        <v>4.4429999999999996</v>
      </c>
      <c r="G141" s="44">
        <f t="shared" si="2"/>
        <v>100.039</v>
      </c>
    </row>
    <row r="142" spans="1:7" x14ac:dyDescent="0.2">
      <c r="A142" s="45">
        <v>47284</v>
      </c>
      <c r="B142" s="46">
        <v>4.125</v>
      </c>
      <c r="C142" s="47">
        <v>99.043999999999997</v>
      </c>
      <c r="D142" s="47">
        <v>99.054000000000002</v>
      </c>
      <c r="E142" s="46">
        <v>-3.9E-2</v>
      </c>
      <c r="F142" s="46">
        <v>4.4420000000000002</v>
      </c>
      <c r="G142" s="48">
        <f t="shared" si="2"/>
        <v>99.049000000000007</v>
      </c>
    </row>
    <row r="143" spans="1:7" x14ac:dyDescent="0.2">
      <c r="A143" s="41">
        <v>47299</v>
      </c>
      <c r="B143" s="42">
        <v>3.25</v>
      </c>
      <c r="C143" s="43">
        <v>96.254000000000005</v>
      </c>
      <c r="D143" s="43">
        <v>96.263999999999996</v>
      </c>
      <c r="E143" s="42">
        <v>-0.04</v>
      </c>
      <c r="F143" s="42">
        <v>4.4550000000000001</v>
      </c>
      <c r="G143" s="44">
        <f t="shared" si="2"/>
        <v>96.259</v>
      </c>
    </row>
    <row r="144" spans="1:7" x14ac:dyDescent="0.2">
      <c r="A144" s="53">
        <v>47299</v>
      </c>
      <c r="B144" s="54">
        <v>4.25</v>
      </c>
      <c r="C144" s="55">
        <v>99.14</v>
      </c>
      <c r="D144" s="55">
        <v>99.15</v>
      </c>
      <c r="E144" s="54">
        <v>-0.04</v>
      </c>
      <c r="F144" s="54">
        <v>4.45</v>
      </c>
      <c r="G144" s="56">
        <f t="shared" si="2"/>
        <v>99.14500000000001</v>
      </c>
    </row>
    <row r="145" spans="1:7" x14ac:dyDescent="0.2">
      <c r="A145" s="41">
        <v>47314</v>
      </c>
      <c r="B145" s="42">
        <v>4.125</v>
      </c>
      <c r="C145" s="43">
        <v>99.03</v>
      </c>
      <c r="D145" s="43">
        <v>99.04</v>
      </c>
      <c r="E145" s="42">
        <v>-4.1000000000000002E-2</v>
      </c>
      <c r="F145" s="42">
        <v>4.452</v>
      </c>
      <c r="G145" s="44">
        <f t="shared" si="2"/>
        <v>99.034999999999997</v>
      </c>
    </row>
    <row r="146" spans="1:7" x14ac:dyDescent="0.2">
      <c r="A146" s="45">
        <v>47330</v>
      </c>
      <c r="B146" s="46">
        <v>2.625</v>
      </c>
      <c r="C146" s="47">
        <v>95.006</v>
      </c>
      <c r="D146" s="47">
        <v>95.016000000000005</v>
      </c>
      <c r="E146" s="46">
        <v>-0.04</v>
      </c>
      <c r="F146" s="46">
        <v>4.4550000000000001</v>
      </c>
      <c r="G146" s="48">
        <f t="shared" si="2"/>
        <v>95.010999999999996</v>
      </c>
    </row>
    <row r="147" spans="1:7" x14ac:dyDescent="0.2">
      <c r="A147" s="41">
        <v>47330</v>
      </c>
      <c r="B147" s="42">
        <v>4</v>
      </c>
      <c r="C147" s="43">
        <v>98.231999999999999</v>
      </c>
      <c r="D147" s="43">
        <v>98.242000000000004</v>
      </c>
      <c r="E147" s="42">
        <v>-4.2000000000000003E-2</v>
      </c>
      <c r="F147" s="42">
        <v>4.4589999999999996</v>
      </c>
      <c r="G147" s="44">
        <f t="shared" si="2"/>
        <v>98.236999999999995</v>
      </c>
    </row>
    <row r="148" spans="1:7" x14ac:dyDescent="0.2">
      <c r="A148" s="45">
        <v>47345</v>
      </c>
      <c r="B148" s="46">
        <v>1.625</v>
      </c>
      <c r="C148" s="47">
        <v>92.081999999999994</v>
      </c>
      <c r="D148" s="47">
        <v>92.091999999999999</v>
      </c>
      <c r="E148" s="46">
        <v>-4.8000000000000001E-2</v>
      </c>
      <c r="F148" s="46">
        <v>4.4409999999999998</v>
      </c>
      <c r="G148" s="48">
        <f t="shared" si="2"/>
        <v>92.086999999999989</v>
      </c>
    </row>
    <row r="149" spans="1:7" x14ac:dyDescent="0.2">
      <c r="A149" s="41">
        <v>47345</v>
      </c>
      <c r="B149" s="42">
        <v>4.25</v>
      </c>
      <c r="C149" s="43">
        <v>99.13</v>
      </c>
      <c r="D149" s="43">
        <v>99.14</v>
      </c>
      <c r="E149" s="42">
        <v>-4.2999999999999997E-2</v>
      </c>
      <c r="F149" s="42">
        <v>4.4550000000000001</v>
      </c>
      <c r="G149" s="44">
        <f t="shared" si="2"/>
        <v>99.134999999999991</v>
      </c>
    </row>
    <row r="150" spans="1:7" x14ac:dyDescent="0.2">
      <c r="A150" s="45">
        <v>47345</v>
      </c>
      <c r="B150" s="46">
        <v>6.125</v>
      </c>
      <c r="C150" s="47">
        <v>104.17</v>
      </c>
      <c r="D150" s="47">
        <v>104.18</v>
      </c>
      <c r="E150" s="46">
        <v>-4.5999999999999999E-2</v>
      </c>
      <c r="F150" s="46">
        <v>4.4569999999999999</v>
      </c>
      <c r="G150" s="48">
        <f t="shared" si="2"/>
        <v>104.17500000000001</v>
      </c>
    </row>
    <row r="151" spans="1:7" x14ac:dyDescent="0.2">
      <c r="A151" s="41">
        <v>47361</v>
      </c>
      <c r="B151" s="42">
        <v>3.125</v>
      </c>
      <c r="C151" s="43">
        <v>96.081999999999994</v>
      </c>
      <c r="D151" s="43">
        <v>96.096000000000004</v>
      </c>
      <c r="E151" s="42">
        <v>-4.2000000000000003E-2</v>
      </c>
      <c r="F151" s="42">
        <v>4.4569999999999999</v>
      </c>
      <c r="G151" s="44">
        <f t="shared" si="2"/>
        <v>96.088999999999999</v>
      </c>
    </row>
    <row r="152" spans="1:7" x14ac:dyDescent="0.2">
      <c r="A152" s="45">
        <v>47361</v>
      </c>
      <c r="B152" s="46">
        <v>3.625</v>
      </c>
      <c r="C152" s="47">
        <v>97.201999999999998</v>
      </c>
      <c r="D152" s="47">
        <v>97.215999999999994</v>
      </c>
      <c r="E152" s="46">
        <v>-4.2000000000000003E-2</v>
      </c>
      <c r="F152" s="46">
        <v>4.4610000000000003</v>
      </c>
      <c r="G152" s="48">
        <f t="shared" si="2"/>
        <v>97.209000000000003</v>
      </c>
    </row>
    <row r="153" spans="1:7" x14ac:dyDescent="0.2">
      <c r="A153" s="41">
        <v>47391</v>
      </c>
      <c r="B153" s="42">
        <v>3.5</v>
      </c>
      <c r="C153" s="43">
        <v>97.07</v>
      </c>
      <c r="D153" s="43">
        <v>97.084000000000003</v>
      </c>
      <c r="E153" s="42">
        <v>-4.2000000000000003E-2</v>
      </c>
      <c r="F153" s="42">
        <v>4.46</v>
      </c>
      <c r="G153" s="44">
        <f t="shared" si="2"/>
        <v>97.076999999999998</v>
      </c>
    </row>
    <row r="154" spans="1:7" x14ac:dyDescent="0.2">
      <c r="A154" s="45">
        <v>47391</v>
      </c>
      <c r="B154" s="46">
        <v>3.875</v>
      </c>
      <c r="C154" s="47">
        <v>98.09</v>
      </c>
      <c r="D154" s="47">
        <v>98.103999999999999</v>
      </c>
      <c r="E154" s="46">
        <v>-4.2000000000000003E-2</v>
      </c>
      <c r="F154" s="46">
        <v>4.4619999999999997</v>
      </c>
      <c r="G154" s="48">
        <f t="shared" si="2"/>
        <v>98.097000000000008</v>
      </c>
    </row>
    <row r="155" spans="1:7" x14ac:dyDescent="0.2">
      <c r="A155" s="41">
        <v>47422</v>
      </c>
      <c r="B155" s="42">
        <v>4.125</v>
      </c>
      <c r="C155" s="43">
        <v>98.296000000000006</v>
      </c>
      <c r="D155" s="43">
        <v>98.311999999999998</v>
      </c>
      <c r="E155" s="42">
        <v>-0.72599999999999998</v>
      </c>
      <c r="F155" s="42">
        <v>4.4740000000000002</v>
      </c>
      <c r="G155" s="44">
        <f t="shared" si="2"/>
        <v>98.304000000000002</v>
      </c>
    </row>
    <row r="156" spans="1:7" x14ac:dyDescent="0.2">
      <c r="A156" s="45">
        <v>47422</v>
      </c>
      <c r="B156" s="46">
        <v>4</v>
      </c>
      <c r="C156" s="47">
        <v>98.182000000000002</v>
      </c>
      <c r="D156" s="47">
        <v>98.195999999999998</v>
      </c>
      <c r="E156" s="46">
        <v>-4.3999999999999997E-2</v>
      </c>
      <c r="F156" s="46">
        <v>4.4720000000000004</v>
      </c>
      <c r="G156" s="48">
        <f t="shared" si="2"/>
        <v>98.188999999999993</v>
      </c>
    </row>
    <row r="157" spans="1:7" x14ac:dyDescent="0.2">
      <c r="A157" s="41">
        <v>47437</v>
      </c>
      <c r="B157" s="42">
        <v>1.75</v>
      </c>
      <c r="C157" s="43">
        <v>91.305999999999997</v>
      </c>
      <c r="D157" s="43">
        <v>92.001999999999995</v>
      </c>
      <c r="E157" s="42">
        <v>-0.72399999999999998</v>
      </c>
      <c r="F157" s="42">
        <v>4.4560000000000004</v>
      </c>
      <c r="G157" s="44">
        <f t="shared" si="2"/>
        <v>91.653999999999996</v>
      </c>
    </row>
    <row r="158" spans="1:7" x14ac:dyDescent="0.2">
      <c r="A158" s="45">
        <v>47452</v>
      </c>
      <c r="B158" s="46">
        <v>3.875</v>
      </c>
      <c r="C158" s="47">
        <v>98.05</v>
      </c>
      <c r="D158" s="47">
        <v>98.063999999999993</v>
      </c>
      <c r="E158" s="46">
        <v>-4.5999999999999999E-2</v>
      </c>
      <c r="F158" s="46">
        <v>4.4749999999999996</v>
      </c>
      <c r="G158" s="48">
        <f t="shared" si="2"/>
        <v>98.056999999999988</v>
      </c>
    </row>
    <row r="159" spans="1:7" x14ac:dyDescent="0.2">
      <c r="A159" s="41">
        <v>47452</v>
      </c>
      <c r="B159" s="42">
        <v>4.125</v>
      </c>
      <c r="C159" s="43">
        <v>98.284000000000006</v>
      </c>
      <c r="D159" s="43">
        <v>98.3</v>
      </c>
      <c r="E159" s="42">
        <v>-0.72799999999999998</v>
      </c>
      <c r="F159" s="42">
        <v>4.4790000000000001</v>
      </c>
      <c r="G159" s="44">
        <f t="shared" si="2"/>
        <v>98.292000000000002</v>
      </c>
    </row>
    <row r="160" spans="1:7" x14ac:dyDescent="0.2">
      <c r="A160" s="45">
        <v>47483</v>
      </c>
      <c r="B160" s="46">
        <v>3.875</v>
      </c>
      <c r="C160" s="47">
        <v>98.024000000000001</v>
      </c>
      <c r="D160" s="47">
        <v>98.04</v>
      </c>
      <c r="E160" s="46">
        <v>-0.05</v>
      </c>
      <c r="F160" s="46">
        <v>4.4870000000000001</v>
      </c>
      <c r="G160" s="48">
        <f t="shared" si="2"/>
        <v>98.032000000000011</v>
      </c>
    </row>
    <row r="161" spans="1:7" x14ac:dyDescent="0.2">
      <c r="A161" s="41">
        <v>47483</v>
      </c>
      <c r="B161" s="42">
        <v>4.375</v>
      </c>
      <c r="C161" s="43">
        <v>99.201999999999998</v>
      </c>
      <c r="D161" s="43">
        <v>99.215999999999994</v>
      </c>
      <c r="E161" s="42">
        <v>-0.05</v>
      </c>
      <c r="F161" s="42">
        <v>4.4779999999999998</v>
      </c>
      <c r="G161" s="44">
        <f t="shared" si="2"/>
        <v>99.209000000000003</v>
      </c>
    </row>
    <row r="162" spans="1:7" x14ac:dyDescent="0.2">
      <c r="A162" s="45">
        <v>47514</v>
      </c>
      <c r="B162" s="46">
        <v>3.5</v>
      </c>
      <c r="C162" s="47">
        <v>96.27</v>
      </c>
      <c r="D162" s="47">
        <v>96.284000000000006</v>
      </c>
      <c r="E162" s="46">
        <v>-4.5999999999999999E-2</v>
      </c>
      <c r="F162" s="46">
        <v>4.4930000000000003</v>
      </c>
      <c r="G162" s="48">
        <f t="shared" si="2"/>
        <v>96.277000000000001</v>
      </c>
    </row>
    <row r="163" spans="1:7" x14ac:dyDescent="0.2">
      <c r="A163" s="41">
        <v>47514</v>
      </c>
      <c r="B163" s="42">
        <v>4.25</v>
      </c>
      <c r="C163" s="43">
        <v>99.063999999999993</v>
      </c>
      <c r="D163" s="43">
        <v>99.08</v>
      </c>
      <c r="E163" s="42">
        <v>-0.05</v>
      </c>
      <c r="F163" s="42">
        <v>4.4889999999999999</v>
      </c>
      <c r="G163" s="44">
        <f t="shared" si="2"/>
        <v>99.072000000000003</v>
      </c>
    </row>
    <row r="164" spans="1:7" x14ac:dyDescent="0.2">
      <c r="A164" s="45">
        <v>47529</v>
      </c>
      <c r="B164" s="46">
        <v>1.5</v>
      </c>
      <c r="C164" s="47">
        <v>90.164000000000001</v>
      </c>
      <c r="D164" s="47">
        <v>90.18</v>
      </c>
      <c r="E164" s="46">
        <v>-4.5999999999999999E-2</v>
      </c>
      <c r="F164" s="46">
        <v>4.4820000000000002</v>
      </c>
      <c r="G164" s="48">
        <f t="shared" si="2"/>
        <v>90.171999999999997</v>
      </c>
    </row>
    <row r="165" spans="1:7" x14ac:dyDescent="0.2">
      <c r="A165" s="41">
        <v>47542</v>
      </c>
      <c r="B165" s="42">
        <v>4</v>
      </c>
      <c r="C165" s="43">
        <v>98.13</v>
      </c>
      <c r="D165" s="43">
        <v>98.144000000000005</v>
      </c>
      <c r="E165" s="42">
        <v>-5.1999999999999998E-2</v>
      </c>
      <c r="F165" s="42">
        <v>4.4829999999999997</v>
      </c>
      <c r="G165" s="44">
        <f t="shared" si="2"/>
        <v>98.137</v>
      </c>
    </row>
    <row r="166" spans="1:7" x14ac:dyDescent="0.2">
      <c r="A166" s="45">
        <v>47573</v>
      </c>
      <c r="B166" s="46">
        <v>4</v>
      </c>
      <c r="C166" s="47">
        <v>98.103999999999999</v>
      </c>
      <c r="D166" s="47">
        <v>98.12</v>
      </c>
      <c r="E166" s="46">
        <v>-5.6000000000000001E-2</v>
      </c>
      <c r="F166" s="46">
        <v>4.4960000000000004</v>
      </c>
      <c r="G166" s="48">
        <f t="shared" si="2"/>
        <v>98.111999999999995</v>
      </c>
    </row>
    <row r="167" spans="1:7" x14ac:dyDescent="0.2">
      <c r="A167" s="41">
        <v>47573</v>
      </c>
      <c r="B167" s="42">
        <v>3.625</v>
      </c>
      <c r="C167" s="43">
        <v>97.031999999999996</v>
      </c>
      <c r="D167" s="43">
        <v>97.046000000000006</v>
      </c>
      <c r="E167" s="42">
        <v>-5.1999999999999998E-2</v>
      </c>
      <c r="F167" s="42">
        <v>4.4960000000000004</v>
      </c>
      <c r="G167" s="44">
        <f t="shared" si="2"/>
        <v>97.039000000000001</v>
      </c>
    </row>
    <row r="168" spans="1:7" x14ac:dyDescent="0.2">
      <c r="A168" s="45">
        <v>47603</v>
      </c>
      <c r="B168" s="46">
        <v>3.5</v>
      </c>
      <c r="C168" s="47">
        <v>96.201999999999998</v>
      </c>
      <c r="D168" s="47">
        <v>96.215999999999994</v>
      </c>
      <c r="E168" s="46">
        <v>-0.05</v>
      </c>
      <c r="F168" s="46">
        <v>4.4930000000000003</v>
      </c>
      <c r="G168" s="48">
        <f t="shared" si="2"/>
        <v>96.209000000000003</v>
      </c>
    </row>
    <row r="169" spans="1:7" x14ac:dyDescent="0.2">
      <c r="A169" s="41">
        <v>47603</v>
      </c>
      <c r="B169" s="42">
        <v>3.875</v>
      </c>
      <c r="C169" s="43">
        <v>97.28</v>
      </c>
      <c r="D169" s="43">
        <v>97.293999999999997</v>
      </c>
      <c r="E169" s="42">
        <v>-0.73599999999999999</v>
      </c>
      <c r="F169" s="42">
        <v>4.4960000000000004</v>
      </c>
      <c r="G169" s="44">
        <f t="shared" si="2"/>
        <v>97.287000000000006</v>
      </c>
    </row>
    <row r="170" spans="1:7" x14ac:dyDescent="0.2">
      <c r="A170" s="45">
        <v>47618</v>
      </c>
      <c r="B170" s="46">
        <v>0.625</v>
      </c>
      <c r="C170" s="47">
        <v>86.274000000000001</v>
      </c>
      <c r="D170" s="47">
        <v>86.29</v>
      </c>
      <c r="E170" s="46">
        <v>-0.73</v>
      </c>
      <c r="F170" s="46">
        <v>4.5049999999999999</v>
      </c>
      <c r="G170" s="48">
        <f t="shared" si="2"/>
        <v>86.282000000000011</v>
      </c>
    </row>
    <row r="171" spans="1:7" x14ac:dyDescent="0.2">
      <c r="A171" s="41">
        <v>47618</v>
      </c>
      <c r="B171" s="42">
        <v>6.25</v>
      </c>
      <c r="C171" s="43">
        <v>105.276</v>
      </c>
      <c r="D171" s="43">
        <v>105.292</v>
      </c>
      <c r="E171" s="42">
        <v>-0.74</v>
      </c>
      <c r="F171" s="42">
        <v>4.4950000000000001</v>
      </c>
      <c r="G171" s="44">
        <f t="shared" si="2"/>
        <v>105.28399999999999</v>
      </c>
    </row>
    <row r="172" spans="1:7" x14ac:dyDescent="0.2">
      <c r="A172" s="45">
        <v>47634</v>
      </c>
      <c r="B172" s="46">
        <v>3.75</v>
      </c>
      <c r="C172" s="47">
        <v>97.122</v>
      </c>
      <c r="D172" s="47">
        <v>97.135999999999996</v>
      </c>
      <c r="E172" s="46">
        <v>-5.3999999999999999E-2</v>
      </c>
      <c r="F172" s="46">
        <v>4.5019999999999998</v>
      </c>
      <c r="G172" s="48">
        <f t="shared" si="2"/>
        <v>97.128999999999991</v>
      </c>
    </row>
    <row r="173" spans="1:7" x14ac:dyDescent="0.2">
      <c r="A173" s="41">
        <v>47634</v>
      </c>
      <c r="B173" s="42">
        <v>4</v>
      </c>
      <c r="C173" s="43">
        <v>98.073999999999998</v>
      </c>
      <c r="D173" s="43">
        <v>98.09</v>
      </c>
      <c r="E173" s="42">
        <v>-5.6000000000000001E-2</v>
      </c>
      <c r="F173" s="42">
        <v>4.5019999999999998</v>
      </c>
      <c r="G173" s="44">
        <f t="shared" si="2"/>
        <v>98.081999999999994</v>
      </c>
    </row>
    <row r="174" spans="1:7" x14ac:dyDescent="0.2">
      <c r="A174" s="45">
        <v>47664</v>
      </c>
      <c r="B174" s="46">
        <v>3.75</v>
      </c>
      <c r="C174" s="47">
        <v>97.1</v>
      </c>
      <c r="D174" s="47">
        <v>97.114000000000004</v>
      </c>
      <c r="E174" s="46">
        <v>-5.1999999999999998E-2</v>
      </c>
      <c r="F174" s="46">
        <v>4.508</v>
      </c>
      <c r="G174" s="48">
        <f t="shared" si="2"/>
        <v>97.106999999999999</v>
      </c>
    </row>
    <row r="175" spans="1:7" x14ac:dyDescent="0.2">
      <c r="A175" s="41">
        <v>47664</v>
      </c>
      <c r="B175" s="42">
        <v>3.875</v>
      </c>
      <c r="C175" s="43">
        <v>97.242000000000004</v>
      </c>
      <c r="D175" s="43">
        <v>97.256</v>
      </c>
      <c r="E175" s="42">
        <v>-5.1999999999999998E-2</v>
      </c>
      <c r="F175" s="42">
        <v>4.5049999999999999</v>
      </c>
      <c r="G175" s="44">
        <f t="shared" si="2"/>
        <v>97.248999999999995</v>
      </c>
    </row>
    <row r="176" spans="1:7" x14ac:dyDescent="0.2">
      <c r="A176" s="45">
        <v>47695</v>
      </c>
      <c r="B176" s="46">
        <v>3.875</v>
      </c>
      <c r="C176" s="47">
        <v>97.224000000000004</v>
      </c>
      <c r="D176" s="47">
        <v>97.24</v>
      </c>
      <c r="E176" s="46">
        <v>-5.8000000000000003E-2</v>
      </c>
      <c r="F176" s="46">
        <v>4.508</v>
      </c>
      <c r="G176" s="48">
        <f t="shared" si="2"/>
        <v>97.231999999999999</v>
      </c>
    </row>
    <row r="177" spans="1:7" x14ac:dyDescent="0.2">
      <c r="A177" s="41">
        <v>47695</v>
      </c>
      <c r="B177" s="42">
        <v>4</v>
      </c>
      <c r="C177" s="43">
        <v>98.042000000000002</v>
      </c>
      <c r="D177" s="43">
        <v>98.055999999999997</v>
      </c>
      <c r="E177" s="42">
        <v>-5.8000000000000003E-2</v>
      </c>
      <c r="F177" s="42">
        <v>4.5119999999999996</v>
      </c>
      <c r="G177" s="44">
        <f t="shared" si="2"/>
        <v>98.049000000000007</v>
      </c>
    </row>
    <row r="178" spans="1:7" x14ac:dyDescent="0.2">
      <c r="A178" s="45">
        <v>47710</v>
      </c>
      <c r="B178" s="46">
        <v>0.625</v>
      </c>
      <c r="C178" s="47">
        <v>86.006</v>
      </c>
      <c r="D178" s="47">
        <v>86.022000000000006</v>
      </c>
      <c r="E178" s="46">
        <v>-0.05</v>
      </c>
      <c r="F178" s="46">
        <v>4.5140000000000002</v>
      </c>
      <c r="G178" s="48">
        <f t="shared" si="2"/>
        <v>86.01400000000001</v>
      </c>
    </row>
    <row r="179" spans="1:7" x14ac:dyDescent="0.2">
      <c r="A179" s="41">
        <v>47726</v>
      </c>
      <c r="B179" s="42">
        <v>3.625</v>
      </c>
      <c r="C179" s="43">
        <v>96.225999999999999</v>
      </c>
      <c r="D179" s="43">
        <v>96.242000000000004</v>
      </c>
      <c r="E179" s="42">
        <v>-0.06</v>
      </c>
      <c r="F179" s="42">
        <v>4.5209999999999999</v>
      </c>
      <c r="G179" s="44">
        <f t="shared" si="2"/>
        <v>96.234000000000009</v>
      </c>
    </row>
    <row r="180" spans="1:7" x14ac:dyDescent="0.2">
      <c r="A180" s="45">
        <v>47726</v>
      </c>
      <c r="B180" s="46">
        <v>4.125</v>
      </c>
      <c r="C180" s="47">
        <v>98.171999999999997</v>
      </c>
      <c r="D180" s="47">
        <v>98.186000000000007</v>
      </c>
      <c r="E180" s="46">
        <v>-5.8000000000000003E-2</v>
      </c>
      <c r="F180" s="46">
        <v>4.516</v>
      </c>
      <c r="G180" s="48">
        <f t="shared" si="2"/>
        <v>98.179000000000002</v>
      </c>
    </row>
    <row r="181" spans="1:7" x14ac:dyDescent="0.2">
      <c r="A181" s="41">
        <v>47756</v>
      </c>
      <c r="B181" s="42">
        <v>3.625</v>
      </c>
      <c r="C181" s="43">
        <v>96.212000000000003</v>
      </c>
      <c r="D181" s="43">
        <v>96.225999999999999</v>
      </c>
      <c r="E181" s="42">
        <v>-5.8000000000000003E-2</v>
      </c>
      <c r="F181" s="42">
        <v>4.5170000000000003</v>
      </c>
      <c r="G181" s="44">
        <f t="shared" si="2"/>
        <v>96.218999999999994</v>
      </c>
    </row>
    <row r="182" spans="1:7" x14ac:dyDescent="0.2">
      <c r="A182" s="45">
        <v>47756</v>
      </c>
      <c r="B182" s="46">
        <v>4.625</v>
      </c>
      <c r="C182" s="47">
        <v>100.114</v>
      </c>
      <c r="D182" s="47">
        <v>100.13</v>
      </c>
      <c r="E182" s="46">
        <v>-0.06</v>
      </c>
      <c r="F182" s="46">
        <v>4.5140000000000002</v>
      </c>
      <c r="G182" s="48">
        <f t="shared" si="2"/>
        <v>100.122</v>
      </c>
    </row>
    <row r="183" spans="1:7" x14ac:dyDescent="0.2">
      <c r="A183" s="41">
        <v>47787</v>
      </c>
      <c r="B183" s="42">
        <v>3.625</v>
      </c>
      <c r="C183" s="43">
        <v>96.186000000000007</v>
      </c>
      <c r="D183" s="43">
        <v>96.201999999999998</v>
      </c>
      <c r="E183" s="42">
        <v>-0.06</v>
      </c>
      <c r="F183" s="42">
        <v>4.5209999999999999</v>
      </c>
      <c r="G183" s="44">
        <f t="shared" si="2"/>
        <v>96.194000000000003</v>
      </c>
    </row>
    <row r="184" spans="1:7" x14ac:dyDescent="0.2">
      <c r="A184" s="45">
        <v>47787</v>
      </c>
      <c r="B184" s="46">
        <v>4.875</v>
      </c>
      <c r="C184" s="47">
        <v>101.092</v>
      </c>
      <c r="D184" s="47">
        <v>101.10599999999999</v>
      </c>
      <c r="E184" s="46">
        <v>-6.4000000000000001E-2</v>
      </c>
      <c r="F184" s="46">
        <v>4.5179999999999998</v>
      </c>
      <c r="G184" s="48">
        <f t="shared" si="2"/>
        <v>101.09899999999999</v>
      </c>
    </row>
    <row r="185" spans="1:7" x14ac:dyDescent="0.2">
      <c r="A185" s="41">
        <v>47802</v>
      </c>
      <c r="B185" s="42">
        <v>0.875</v>
      </c>
      <c r="C185" s="43">
        <v>86.04</v>
      </c>
      <c r="D185" s="43">
        <v>86.054000000000002</v>
      </c>
      <c r="E185" s="42">
        <v>-5.1999999999999998E-2</v>
      </c>
      <c r="F185" s="42">
        <v>4.5259999999999998</v>
      </c>
      <c r="G185" s="44">
        <f t="shared" si="2"/>
        <v>86.046999999999997</v>
      </c>
    </row>
    <row r="186" spans="1:7" x14ac:dyDescent="0.2">
      <c r="A186" s="45">
        <v>47817</v>
      </c>
      <c r="B186" s="46">
        <v>3.5</v>
      </c>
      <c r="C186" s="47">
        <v>96.001999999999995</v>
      </c>
      <c r="D186" s="47">
        <v>96.016000000000005</v>
      </c>
      <c r="E186" s="46">
        <v>-6.2E-2</v>
      </c>
      <c r="F186" s="46">
        <v>4.5309999999999997</v>
      </c>
      <c r="G186" s="48">
        <f t="shared" si="2"/>
        <v>96.009</v>
      </c>
    </row>
    <row r="187" spans="1:7" x14ac:dyDescent="0.2">
      <c r="A187" s="41">
        <v>47817</v>
      </c>
      <c r="B187" s="42">
        <v>4.375</v>
      </c>
      <c r="C187" s="43">
        <v>99.116</v>
      </c>
      <c r="D187" s="43">
        <v>99.132000000000005</v>
      </c>
      <c r="E187" s="42">
        <v>-6.4000000000000001E-2</v>
      </c>
      <c r="F187" s="42">
        <v>4.5270000000000001</v>
      </c>
      <c r="G187" s="44">
        <f t="shared" si="2"/>
        <v>99.123999999999995</v>
      </c>
    </row>
    <row r="188" spans="1:7" x14ac:dyDescent="0.2">
      <c r="A188" s="45">
        <v>47848</v>
      </c>
      <c r="B188" s="46">
        <v>3.75</v>
      </c>
      <c r="C188" s="47">
        <v>96.292000000000002</v>
      </c>
      <c r="D188" s="47">
        <v>96.305999999999997</v>
      </c>
      <c r="E188" s="46">
        <v>-0.74</v>
      </c>
      <c r="F188" s="46">
        <v>4.53</v>
      </c>
      <c r="G188" s="48">
        <f t="shared" si="2"/>
        <v>96.299000000000007</v>
      </c>
    </row>
    <row r="189" spans="1:7" x14ac:dyDescent="0.2">
      <c r="A189" s="41">
        <v>47848</v>
      </c>
      <c r="B189" s="42">
        <v>3.625</v>
      </c>
      <c r="C189" s="43">
        <v>96.134</v>
      </c>
      <c r="D189" s="43">
        <v>96.15</v>
      </c>
      <c r="E189" s="42">
        <v>-0.06</v>
      </c>
      <c r="F189" s="42">
        <v>4.532</v>
      </c>
      <c r="G189" s="44">
        <f t="shared" si="2"/>
        <v>96.141999999999996</v>
      </c>
    </row>
    <row r="190" spans="1:7" x14ac:dyDescent="0.2">
      <c r="A190" s="45">
        <v>47879</v>
      </c>
      <c r="B190" s="46">
        <v>3.75</v>
      </c>
      <c r="C190" s="47">
        <v>96.27</v>
      </c>
      <c r="D190" s="47">
        <v>96.284000000000006</v>
      </c>
      <c r="E190" s="46">
        <v>-0.75</v>
      </c>
      <c r="F190" s="46">
        <v>4.5350000000000001</v>
      </c>
      <c r="G190" s="48">
        <f t="shared" si="2"/>
        <v>96.277000000000001</v>
      </c>
    </row>
    <row r="191" spans="1:7" x14ac:dyDescent="0.2">
      <c r="A191" s="41">
        <v>47879</v>
      </c>
      <c r="B191" s="42">
        <v>4</v>
      </c>
      <c r="C191" s="43">
        <v>97.263999999999996</v>
      </c>
      <c r="D191" s="43">
        <v>97.28</v>
      </c>
      <c r="E191" s="42">
        <v>-0.74199999999999999</v>
      </c>
      <c r="F191" s="42">
        <v>4.5359999999999996</v>
      </c>
      <c r="G191" s="44">
        <f t="shared" si="2"/>
        <v>97.271999999999991</v>
      </c>
    </row>
    <row r="192" spans="1:7" x14ac:dyDescent="0.2">
      <c r="A192" s="45">
        <v>47894</v>
      </c>
      <c r="B192" s="46">
        <v>1.125</v>
      </c>
      <c r="C192" s="47">
        <v>86.14</v>
      </c>
      <c r="D192" s="47">
        <v>86.153999999999996</v>
      </c>
      <c r="E192" s="46">
        <v>-5.6000000000000001E-2</v>
      </c>
      <c r="F192" s="46">
        <v>4.51</v>
      </c>
      <c r="G192" s="48">
        <f t="shared" si="2"/>
        <v>86.146999999999991</v>
      </c>
    </row>
    <row r="193" spans="1:7" x14ac:dyDescent="0.2">
      <c r="A193" s="41">
        <v>47894</v>
      </c>
      <c r="B193" s="42">
        <v>5.375</v>
      </c>
      <c r="C193" s="43">
        <v>103.126</v>
      </c>
      <c r="D193" s="43">
        <v>103.142</v>
      </c>
      <c r="E193" s="42">
        <v>-0.06</v>
      </c>
      <c r="F193" s="42">
        <v>4.5110000000000001</v>
      </c>
      <c r="G193" s="44">
        <f t="shared" si="2"/>
        <v>103.134</v>
      </c>
    </row>
    <row r="194" spans="1:7" x14ac:dyDescent="0.2">
      <c r="A194" s="45">
        <v>47907</v>
      </c>
      <c r="B194" s="46">
        <v>3.5</v>
      </c>
      <c r="C194" s="47">
        <v>95.254000000000005</v>
      </c>
      <c r="D194" s="47">
        <v>95.27</v>
      </c>
      <c r="E194" s="46">
        <v>-0.748</v>
      </c>
      <c r="F194" s="46">
        <v>4.532</v>
      </c>
      <c r="G194" s="48">
        <f t="shared" si="2"/>
        <v>95.262</v>
      </c>
    </row>
    <row r="195" spans="1:7" x14ac:dyDescent="0.2">
      <c r="A195" s="41">
        <v>47907</v>
      </c>
      <c r="B195" s="42">
        <v>4.25</v>
      </c>
      <c r="C195" s="43">
        <v>98.254000000000005</v>
      </c>
      <c r="D195" s="43">
        <v>98.27</v>
      </c>
      <c r="E195" s="42">
        <v>-0.75</v>
      </c>
      <c r="F195" s="42">
        <v>4.5369999999999999</v>
      </c>
      <c r="G195" s="44">
        <f t="shared" si="2"/>
        <v>98.262</v>
      </c>
    </row>
    <row r="196" spans="1:7" x14ac:dyDescent="0.2">
      <c r="A196" s="45">
        <v>47938</v>
      </c>
      <c r="B196" s="46">
        <v>3.875</v>
      </c>
      <c r="C196" s="47">
        <v>97.081999999999994</v>
      </c>
      <c r="D196" s="47">
        <v>97.096000000000004</v>
      </c>
      <c r="E196" s="46">
        <v>-6.4000000000000001E-2</v>
      </c>
      <c r="F196" s="46">
        <v>4.5330000000000004</v>
      </c>
      <c r="G196" s="48">
        <f t="shared" ref="G196:G259" si="3">AVERAGE(C196,D196)</f>
        <v>97.088999999999999</v>
      </c>
    </row>
    <row r="197" spans="1:7" x14ac:dyDescent="0.2">
      <c r="A197" s="41">
        <v>47938</v>
      </c>
      <c r="B197" s="42">
        <v>4.125</v>
      </c>
      <c r="C197" s="43">
        <v>98.075999999999993</v>
      </c>
      <c r="D197" s="43">
        <v>98.091999999999999</v>
      </c>
      <c r="E197" s="42">
        <v>-6.8000000000000005E-2</v>
      </c>
      <c r="F197" s="42">
        <v>4.5430000000000001</v>
      </c>
      <c r="G197" s="44">
        <f t="shared" si="3"/>
        <v>98.084000000000003</v>
      </c>
    </row>
    <row r="198" spans="1:7" x14ac:dyDescent="0.2">
      <c r="A198" s="45">
        <v>47968</v>
      </c>
      <c r="B198" s="46">
        <v>4.625</v>
      </c>
      <c r="C198" s="47">
        <v>100.09399999999999</v>
      </c>
      <c r="D198" s="47">
        <v>100.11</v>
      </c>
      <c r="E198" s="46">
        <v>-7.0000000000000007E-2</v>
      </c>
      <c r="F198" s="46">
        <v>4.5410000000000004</v>
      </c>
      <c r="G198" s="48">
        <f t="shared" si="3"/>
        <v>100.102</v>
      </c>
    </row>
    <row r="199" spans="1:7" x14ac:dyDescent="0.2">
      <c r="A199" s="41">
        <v>47968</v>
      </c>
      <c r="B199" s="42">
        <v>3.875</v>
      </c>
      <c r="C199" s="43">
        <v>97.057000000000002</v>
      </c>
      <c r="D199" s="43">
        <v>97.072999999999993</v>
      </c>
      <c r="E199" s="42">
        <v>-7.0000000000000007E-2</v>
      </c>
      <c r="F199" s="42">
        <v>4.54</v>
      </c>
      <c r="G199" s="44">
        <f t="shared" si="3"/>
        <v>97.064999999999998</v>
      </c>
    </row>
    <row r="200" spans="1:7" x14ac:dyDescent="0.2">
      <c r="A200" s="45">
        <v>47983</v>
      </c>
      <c r="B200" s="46">
        <v>1.625</v>
      </c>
      <c r="C200" s="47">
        <v>87.225999999999999</v>
      </c>
      <c r="D200" s="47">
        <v>87.242000000000004</v>
      </c>
      <c r="E200" s="46">
        <v>-6.4000000000000001E-2</v>
      </c>
      <c r="F200" s="46">
        <v>4.5460000000000003</v>
      </c>
      <c r="G200" s="48">
        <f t="shared" si="3"/>
        <v>87.234000000000009</v>
      </c>
    </row>
    <row r="201" spans="1:7" x14ac:dyDescent="0.2">
      <c r="A201" s="41">
        <v>47999</v>
      </c>
      <c r="B201" s="42">
        <v>4.125</v>
      </c>
      <c r="C201" s="43">
        <v>98.052999999999997</v>
      </c>
      <c r="D201" s="43">
        <v>98.066999999999993</v>
      </c>
      <c r="E201" s="42">
        <v>-7.0999999999999994E-2</v>
      </c>
      <c r="F201" s="42">
        <v>4.5460000000000003</v>
      </c>
      <c r="G201" s="44">
        <f t="shared" si="3"/>
        <v>98.06</v>
      </c>
    </row>
    <row r="202" spans="1:7" x14ac:dyDescent="0.2">
      <c r="A202" s="45">
        <v>47999</v>
      </c>
      <c r="B202" s="46">
        <v>4.625</v>
      </c>
      <c r="C202" s="47">
        <v>100.08199999999999</v>
      </c>
      <c r="D202" s="47">
        <v>100.096</v>
      </c>
      <c r="E202" s="46">
        <v>-7.0000000000000007E-2</v>
      </c>
      <c r="F202" s="46">
        <v>4.5510000000000002</v>
      </c>
      <c r="G202" s="48">
        <f t="shared" si="3"/>
        <v>100.089</v>
      </c>
    </row>
    <row r="203" spans="1:7" x14ac:dyDescent="0.2">
      <c r="A203" s="41">
        <v>48029</v>
      </c>
      <c r="B203" s="42">
        <v>4.125</v>
      </c>
      <c r="C203" s="43">
        <v>98.043999999999997</v>
      </c>
      <c r="D203" s="43">
        <v>98.06</v>
      </c>
      <c r="E203" s="42">
        <v>-7.1999999999999995E-2</v>
      </c>
      <c r="F203" s="42">
        <v>4.5460000000000003</v>
      </c>
      <c r="G203" s="44">
        <f t="shared" si="3"/>
        <v>98.051999999999992</v>
      </c>
    </row>
    <row r="204" spans="1:7" x14ac:dyDescent="0.2">
      <c r="A204" s="45">
        <v>48029</v>
      </c>
      <c r="B204" s="46">
        <v>4.25</v>
      </c>
      <c r="C204" s="47">
        <v>98.21</v>
      </c>
      <c r="D204" s="47">
        <v>98.224000000000004</v>
      </c>
      <c r="E204" s="46">
        <v>-7.1999999999999995E-2</v>
      </c>
      <c r="F204" s="46">
        <v>4.5510000000000002</v>
      </c>
      <c r="G204" s="48">
        <f t="shared" si="3"/>
        <v>98.216999999999999</v>
      </c>
    </row>
    <row r="205" spans="1:7" x14ac:dyDescent="0.2">
      <c r="A205" s="41">
        <v>48060</v>
      </c>
      <c r="B205" s="42">
        <v>4.125</v>
      </c>
      <c r="C205" s="43">
        <v>98.022000000000006</v>
      </c>
      <c r="D205" s="43">
        <v>98.036000000000001</v>
      </c>
      <c r="E205" s="42">
        <v>-7.0000000000000007E-2</v>
      </c>
      <c r="F205" s="42">
        <v>4.556</v>
      </c>
      <c r="G205" s="44">
        <f t="shared" si="3"/>
        <v>98.028999999999996</v>
      </c>
    </row>
    <row r="206" spans="1:7" x14ac:dyDescent="0.2">
      <c r="A206" s="53">
        <v>48060</v>
      </c>
      <c r="B206" s="54">
        <v>4.375</v>
      </c>
      <c r="C206" s="55">
        <v>99.057000000000002</v>
      </c>
      <c r="D206" s="55">
        <v>99.072999999999993</v>
      </c>
      <c r="E206" s="54">
        <v>-7.3999999999999996E-2</v>
      </c>
      <c r="F206" s="54">
        <v>4.5510000000000002</v>
      </c>
      <c r="G206" s="56">
        <f t="shared" si="3"/>
        <v>99.064999999999998</v>
      </c>
    </row>
    <row r="207" spans="1:7" x14ac:dyDescent="0.2">
      <c r="A207" s="41">
        <v>48075</v>
      </c>
      <c r="B207" s="42">
        <v>1.25</v>
      </c>
      <c r="C207" s="43">
        <v>85.126000000000005</v>
      </c>
      <c r="D207" s="43">
        <v>85.141999999999996</v>
      </c>
      <c r="E207" s="42">
        <v>-6.6000000000000003E-2</v>
      </c>
      <c r="F207" s="42">
        <v>4.5679999999999996</v>
      </c>
      <c r="G207" s="44">
        <f t="shared" si="3"/>
        <v>85.134</v>
      </c>
    </row>
    <row r="208" spans="1:7" x14ac:dyDescent="0.2">
      <c r="A208" s="45">
        <v>48091</v>
      </c>
      <c r="B208" s="46">
        <v>4.375</v>
      </c>
      <c r="C208" s="47">
        <v>99.052999999999997</v>
      </c>
      <c r="D208" s="47">
        <v>99.066999999999993</v>
      </c>
      <c r="E208" s="46">
        <v>-7.1999999999999995E-2</v>
      </c>
      <c r="F208" s="46">
        <v>4.5519999999999996</v>
      </c>
      <c r="G208" s="48">
        <f t="shared" si="3"/>
        <v>99.06</v>
      </c>
    </row>
    <row r="209" spans="1:7" x14ac:dyDescent="0.2">
      <c r="A209" s="41">
        <v>48091</v>
      </c>
      <c r="B209" s="42">
        <v>3.75</v>
      </c>
      <c r="C209" s="43">
        <v>96.111999999999995</v>
      </c>
      <c r="D209" s="43">
        <v>96.126000000000005</v>
      </c>
      <c r="E209" s="42">
        <v>-7.1999999999999995E-2</v>
      </c>
      <c r="F209" s="42">
        <v>4.5650000000000004</v>
      </c>
      <c r="G209" s="44">
        <f t="shared" si="3"/>
        <v>96.119</v>
      </c>
    </row>
    <row r="210" spans="1:7" x14ac:dyDescent="0.2">
      <c r="A210" s="45">
        <v>48121</v>
      </c>
      <c r="B210" s="46">
        <v>3.625</v>
      </c>
      <c r="C210" s="47">
        <v>95.236000000000004</v>
      </c>
      <c r="D210" s="47">
        <v>95.251999999999995</v>
      </c>
      <c r="E210" s="46">
        <v>-7.3999999999999996E-2</v>
      </c>
      <c r="F210" s="46">
        <v>4.5629999999999997</v>
      </c>
      <c r="G210" s="48">
        <f t="shared" si="3"/>
        <v>95.244</v>
      </c>
    </row>
    <row r="211" spans="1:7" x14ac:dyDescent="0.2">
      <c r="A211" s="41">
        <v>48152</v>
      </c>
      <c r="B211" s="42">
        <v>4.125</v>
      </c>
      <c r="C211" s="43">
        <v>97.3</v>
      </c>
      <c r="D211" s="43">
        <v>97.313999999999993</v>
      </c>
      <c r="E211" s="42">
        <v>-0.752</v>
      </c>
      <c r="F211" s="42">
        <v>4.5670000000000002</v>
      </c>
      <c r="G211" s="44">
        <f t="shared" si="3"/>
        <v>97.306999999999988</v>
      </c>
    </row>
    <row r="212" spans="1:7" x14ac:dyDescent="0.2">
      <c r="A212" s="45">
        <v>48167</v>
      </c>
      <c r="B212" s="46">
        <v>1.375</v>
      </c>
      <c r="C212" s="47">
        <v>85.075999999999993</v>
      </c>
      <c r="D212" s="47">
        <v>85.091999999999999</v>
      </c>
      <c r="E212" s="46">
        <v>-6.8000000000000005E-2</v>
      </c>
      <c r="F212" s="46">
        <v>4.5860000000000003</v>
      </c>
      <c r="G212" s="48">
        <f t="shared" si="3"/>
        <v>85.084000000000003</v>
      </c>
    </row>
    <row r="213" spans="1:7" x14ac:dyDescent="0.2">
      <c r="A213" s="41">
        <v>48182</v>
      </c>
      <c r="B213" s="42">
        <v>4.125</v>
      </c>
      <c r="C213" s="43">
        <v>97.28</v>
      </c>
      <c r="D213" s="43">
        <v>97.293999999999997</v>
      </c>
      <c r="E213" s="42">
        <v>-0.754</v>
      </c>
      <c r="F213" s="42">
        <v>4.5739999999999998</v>
      </c>
      <c r="G213" s="44">
        <f t="shared" si="3"/>
        <v>97.287000000000006</v>
      </c>
    </row>
    <row r="214" spans="1:7" x14ac:dyDescent="0.2">
      <c r="A214" s="45">
        <v>48244</v>
      </c>
      <c r="B214" s="46">
        <v>4.375</v>
      </c>
      <c r="C214" s="47">
        <v>98.304000000000002</v>
      </c>
      <c r="D214" s="47">
        <v>99</v>
      </c>
      <c r="E214" s="46">
        <v>-0.75800000000000001</v>
      </c>
      <c r="F214" s="46">
        <v>4.585</v>
      </c>
      <c r="G214" s="48">
        <f t="shared" si="3"/>
        <v>98.652000000000001</v>
      </c>
    </row>
    <row r="215" spans="1:7" x14ac:dyDescent="0.2">
      <c r="A215" s="41">
        <v>48259</v>
      </c>
      <c r="B215" s="42">
        <v>1.875</v>
      </c>
      <c r="C215" s="43">
        <v>86.302000000000007</v>
      </c>
      <c r="D215" s="43">
        <v>86.316000000000003</v>
      </c>
      <c r="E215" s="42">
        <v>-0.754</v>
      </c>
      <c r="F215" s="42">
        <v>4.5999999999999996</v>
      </c>
      <c r="G215" s="44">
        <f t="shared" si="3"/>
        <v>86.308999999999997</v>
      </c>
    </row>
    <row r="216" spans="1:7" x14ac:dyDescent="0.2">
      <c r="A216" s="45">
        <v>48273</v>
      </c>
      <c r="B216" s="46">
        <v>4.125</v>
      </c>
      <c r="C216" s="47">
        <v>97.236000000000004</v>
      </c>
      <c r="D216" s="47">
        <v>97.251999999999995</v>
      </c>
      <c r="E216" s="46">
        <v>-7.8E-2</v>
      </c>
      <c r="F216" s="46">
        <v>4.585</v>
      </c>
      <c r="G216" s="48">
        <f t="shared" si="3"/>
        <v>97.244</v>
      </c>
    </row>
    <row r="217" spans="1:7" x14ac:dyDescent="0.2">
      <c r="A217" s="41">
        <v>48304</v>
      </c>
      <c r="B217" s="42">
        <v>4.125</v>
      </c>
      <c r="C217" s="43">
        <v>97.215999999999994</v>
      </c>
      <c r="D217" s="43">
        <v>97.231999999999999</v>
      </c>
      <c r="E217" s="42">
        <v>-7.8E-2</v>
      </c>
      <c r="F217" s="42">
        <v>4.5910000000000002</v>
      </c>
      <c r="G217" s="44">
        <f t="shared" si="3"/>
        <v>97.22399999999999</v>
      </c>
    </row>
    <row r="218" spans="1:7" x14ac:dyDescent="0.2">
      <c r="A218" s="45">
        <v>48334</v>
      </c>
      <c r="B218" s="46">
        <v>4</v>
      </c>
      <c r="C218" s="47">
        <v>97.004000000000005</v>
      </c>
      <c r="D218" s="47">
        <v>97.02</v>
      </c>
      <c r="E218" s="46">
        <v>-0.08</v>
      </c>
      <c r="F218" s="46">
        <v>4.5940000000000003</v>
      </c>
      <c r="G218" s="48">
        <f t="shared" si="3"/>
        <v>97.012</v>
      </c>
    </row>
    <row r="219" spans="1:7" x14ac:dyDescent="0.2">
      <c r="A219" s="41">
        <v>48349</v>
      </c>
      <c r="B219" s="42">
        <v>2.875</v>
      </c>
      <c r="C219" s="43">
        <v>91.111999999999995</v>
      </c>
      <c r="D219" s="43">
        <v>91.126000000000005</v>
      </c>
      <c r="E219" s="42">
        <v>-7.8E-2</v>
      </c>
      <c r="F219" s="42">
        <v>4.6070000000000002</v>
      </c>
      <c r="G219" s="44">
        <f t="shared" si="3"/>
        <v>91.119</v>
      </c>
    </row>
    <row r="220" spans="1:7" x14ac:dyDescent="0.2">
      <c r="A220" s="45">
        <v>48365</v>
      </c>
      <c r="B220" s="46">
        <v>4.125</v>
      </c>
      <c r="C220" s="47">
        <v>97.183999999999997</v>
      </c>
      <c r="D220" s="47">
        <v>97.2</v>
      </c>
      <c r="E220" s="46">
        <v>-0.08</v>
      </c>
      <c r="F220" s="46">
        <v>4.5990000000000002</v>
      </c>
      <c r="G220" s="48">
        <f t="shared" si="3"/>
        <v>97.192000000000007</v>
      </c>
    </row>
    <row r="221" spans="1:7" x14ac:dyDescent="0.2">
      <c r="A221" s="41">
        <v>48395</v>
      </c>
      <c r="B221" s="42">
        <v>4</v>
      </c>
      <c r="C221" s="43">
        <v>96.286000000000001</v>
      </c>
      <c r="D221" s="43">
        <v>96.302000000000007</v>
      </c>
      <c r="E221" s="42">
        <v>-0.76</v>
      </c>
      <c r="F221" s="42">
        <v>4.6029999999999998</v>
      </c>
      <c r="G221" s="44">
        <f t="shared" si="3"/>
        <v>96.294000000000011</v>
      </c>
    </row>
    <row r="222" spans="1:7" x14ac:dyDescent="0.2">
      <c r="A222" s="45">
        <v>48426</v>
      </c>
      <c r="B222" s="46">
        <v>4</v>
      </c>
      <c r="C222" s="47">
        <v>96.263999999999996</v>
      </c>
      <c r="D222" s="47">
        <v>96.28</v>
      </c>
      <c r="E222" s="46">
        <v>-0.76</v>
      </c>
      <c r="F222" s="46">
        <v>4.609</v>
      </c>
      <c r="G222" s="48">
        <f t="shared" si="3"/>
        <v>96.271999999999991</v>
      </c>
    </row>
    <row r="223" spans="1:7" x14ac:dyDescent="0.2">
      <c r="A223" s="41">
        <v>48441</v>
      </c>
      <c r="B223" s="42">
        <v>2.75</v>
      </c>
      <c r="C223" s="43">
        <v>90.1</v>
      </c>
      <c r="D223" s="43">
        <v>90.114000000000004</v>
      </c>
      <c r="E223" s="42">
        <v>-8.2000000000000003E-2</v>
      </c>
      <c r="F223" s="42">
        <v>4.6210000000000004</v>
      </c>
      <c r="G223" s="44">
        <f t="shared" si="3"/>
        <v>90.106999999999999</v>
      </c>
    </row>
    <row r="224" spans="1:7" x14ac:dyDescent="0.2">
      <c r="A224" s="45">
        <v>48457</v>
      </c>
      <c r="B224" s="46">
        <v>3.875</v>
      </c>
      <c r="C224" s="47">
        <v>96.036000000000001</v>
      </c>
      <c r="D224" s="47">
        <v>96.052000000000007</v>
      </c>
      <c r="E224" s="46">
        <v>-8.4000000000000005E-2</v>
      </c>
      <c r="F224" s="46">
        <v>4.6150000000000002</v>
      </c>
      <c r="G224" s="48">
        <f t="shared" si="3"/>
        <v>96.044000000000011</v>
      </c>
    </row>
    <row r="225" spans="1:7" x14ac:dyDescent="0.2">
      <c r="A225" s="41">
        <v>48487</v>
      </c>
      <c r="B225" s="42">
        <v>3.875</v>
      </c>
      <c r="C225" s="43">
        <v>96.012</v>
      </c>
      <c r="D225" s="43">
        <v>96.025999999999996</v>
      </c>
      <c r="E225" s="42">
        <v>-0.08</v>
      </c>
      <c r="F225" s="42">
        <v>4.6210000000000004</v>
      </c>
      <c r="G225" s="44">
        <f t="shared" si="3"/>
        <v>96.019000000000005</v>
      </c>
    </row>
    <row r="226" spans="1:7" x14ac:dyDescent="0.2">
      <c r="A226" s="45">
        <v>48518</v>
      </c>
      <c r="B226" s="46">
        <v>3.75</v>
      </c>
      <c r="C226" s="47">
        <v>95.091999999999999</v>
      </c>
      <c r="D226" s="47">
        <v>95.105999999999995</v>
      </c>
      <c r="E226" s="46">
        <v>-8.2000000000000003E-2</v>
      </c>
      <c r="F226" s="46">
        <v>4.6280000000000001</v>
      </c>
      <c r="G226" s="48">
        <f t="shared" si="3"/>
        <v>95.09899999999999</v>
      </c>
    </row>
    <row r="227" spans="1:7" x14ac:dyDescent="0.2">
      <c r="A227" s="41">
        <v>48533</v>
      </c>
      <c r="B227" s="42">
        <v>4.125</v>
      </c>
      <c r="C227" s="43">
        <v>97.09</v>
      </c>
      <c r="D227" s="43">
        <v>97.103999999999999</v>
      </c>
      <c r="E227" s="42">
        <v>-7.5999999999999998E-2</v>
      </c>
      <c r="F227" s="42">
        <v>4.6239999999999997</v>
      </c>
      <c r="G227" s="44">
        <f t="shared" si="3"/>
        <v>97.097000000000008</v>
      </c>
    </row>
    <row r="228" spans="1:7" x14ac:dyDescent="0.2">
      <c r="A228" s="45">
        <v>48548</v>
      </c>
      <c r="B228" s="46">
        <v>3.75</v>
      </c>
      <c r="C228" s="47">
        <v>95.075999999999993</v>
      </c>
      <c r="D228" s="47">
        <v>95.091999999999999</v>
      </c>
      <c r="E228" s="46">
        <v>-8.4000000000000005E-2</v>
      </c>
      <c r="F228" s="46">
        <v>4.6260000000000003</v>
      </c>
      <c r="G228" s="48">
        <f t="shared" si="3"/>
        <v>95.084000000000003</v>
      </c>
    </row>
    <row r="229" spans="1:7" x14ac:dyDescent="0.2">
      <c r="A229" s="41">
        <v>48579</v>
      </c>
      <c r="B229" s="42">
        <v>3.875</v>
      </c>
      <c r="C229" s="43">
        <v>95.263999999999996</v>
      </c>
      <c r="D229" s="43">
        <v>95.28</v>
      </c>
      <c r="E229" s="42">
        <v>-0.76800000000000002</v>
      </c>
      <c r="F229" s="42">
        <v>4.6340000000000003</v>
      </c>
      <c r="G229" s="44">
        <f t="shared" si="3"/>
        <v>95.271999999999991</v>
      </c>
    </row>
    <row r="230" spans="1:7" x14ac:dyDescent="0.2">
      <c r="A230" s="45">
        <v>48610</v>
      </c>
      <c r="B230" s="46">
        <v>4</v>
      </c>
      <c r="C230" s="47">
        <v>96.135999999999996</v>
      </c>
      <c r="D230" s="47">
        <v>96.152000000000001</v>
      </c>
      <c r="E230" s="46">
        <v>-0.09</v>
      </c>
      <c r="F230" s="46">
        <v>4.641</v>
      </c>
      <c r="G230" s="48">
        <f t="shared" si="3"/>
        <v>96.144000000000005</v>
      </c>
    </row>
    <row r="231" spans="1:7" x14ac:dyDescent="0.2">
      <c r="A231" s="41">
        <v>48625</v>
      </c>
      <c r="B231" s="42">
        <v>3.5</v>
      </c>
      <c r="C231" s="43">
        <v>93.195999999999998</v>
      </c>
      <c r="D231" s="43">
        <v>93.212000000000003</v>
      </c>
      <c r="E231" s="42">
        <v>-8.5999999999999993E-2</v>
      </c>
      <c r="F231" s="42">
        <v>4.6479999999999997</v>
      </c>
      <c r="G231" s="44">
        <f t="shared" si="3"/>
        <v>93.204000000000008</v>
      </c>
    </row>
    <row r="232" spans="1:7" x14ac:dyDescent="0.2">
      <c r="A232" s="45">
        <v>48638</v>
      </c>
      <c r="B232" s="46">
        <v>3.75</v>
      </c>
      <c r="C232" s="47">
        <v>95.004000000000005</v>
      </c>
      <c r="D232" s="47">
        <v>95.02</v>
      </c>
      <c r="E232" s="46">
        <v>-8.2000000000000003E-2</v>
      </c>
      <c r="F232" s="46">
        <v>4.6390000000000002</v>
      </c>
      <c r="G232" s="48">
        <f t="shared" si="3"/>
        <v>95.012</v>
      </c>
    </row>
    <row r="233" spans="1:7" x14ac:dyDescent="0.2">
      <c r="A233" s="41">
        <v>48669</v>
      </c>
      <c r="B233" s="42">
        <v>4.25</v>
      </c>
      <c r="C233" s="43">
        <v>97.233999999999995</v>
      </c>
      <c r="D233" s="43">
        <v>97.25</v>
      </c>
      <c r="E233" s="42">
        <v>-0.77</v>
      </c>
      <c r="F233" s="42">
        <v>4.6449999999999996</v>
      </c>
      <c r="G233" s="44">
        <f t="shared" si="3"/>
        <v>97.24199999999999</v>
      </c>
    </row>
    <row r="234" spans="1:7" x14ac:dyDescent="0.2">
      <c r="A234" s="45">
        <v>48699</v>
      </c>
      <c r="B234" s="46">
        <v>4.125</v>
      </c>
      <c r="C234" s="47">
        <v>96.305000000000007</v>
      </c>
      <c r="D234" s="47">
        <v>97.001000000000005</v>
      </c>
      <c r="E234" s="46">
        <v>-0.76500000000000001</v>
      </c>
      <c r="F234" s="46">
        <v>4.6520000000000001</v>
      </c>
      <c r="G234" s="48">
        <f t="shared" si="3"/>
        <v>96.653000000000006</v>
      </c>
    </row>
    <row r="235" spans="1:7" x14ac:dyDescent="0.2">
      <c r="A235" s="41">
        <v>48714</v>
      </c>
      <c r="B235" s="42">
        <v>3.375</v>
      </c>
      <c r="C235" s="43">
        <v>92.206000000000003</v>
      </c>
      <c r="D235" s="43">
        <v>92.221999999999994</v>
      </c>
      <c r="E235" s="42">
        <v>-8.4000000000000005E-2</v>
      </c>
      <c r="F235" s="42">
        <v>4.6559999999999997</v>
      </c>
      <c r="G235" s="44">
        <f t="shared" si="3"/>
        <v>92.213999999999999</v>
      </c>
    </row>
    <row r="236" spans="1:7" x14ac:dyDescent="0.2">
      <c r="A236" s="45">
        <v>48730</v>
      </c>
      <c r="B236" s="46">
        <v>4.25</v>
      </c>
      <c r="C236" s="47">
        <v>97.2</v>
      </c>
      <c r="D236" s="47">
        <v>97.213999999999999</v>
      </c>
      <c r="E236" s="46">
        <v>-8.4000000000000005E-2</v>
      </c>
      <c r="F236" s="46">
        <v>4.6550000000000002</v>
      </c>
      <c r="G236" s="48">
        <f t="shared" si="3"/>
        <v>97.206999999999994</v>
      </c>
    </row>
    <row r="237" spans="1:7" x14ac:dyDescent="0.2">
      <c r="A237" s="41">
        <v>48760</v>
      </c>
      <c r="B237" s="42">
        <v>4.25</v>
      </c>
      <c r="C237" s="43">
        <v>97.186999999999998</v>
      </c>
      <c r="D237" s="43">
        <v>97.203000000000003</v>
      </c>
      <c r="E237" s="42">
        <v>-8.5999999999999993E-2</v>
      </c>
      <c r="F237" s="42">
        <v>4.657</v>
      </c>
      <c r="G237" s="44">
        <f t="shared" si="3"/>
        <v>97.194999999999993</v>
      </c>
    </row>
    <row r="238" spans="1:7" x14ac:dyDescent="0.2">
      <c r="A238" s="45">
        <v>48791</v>
      </c>
      <c r="B238" s="46">
        <v>4.375</v>
      </c>
      <c r="C238" s="47">
        <v>98.082999999999998</v>
      </c>
      <c r="D238" s="47">
        <v>98.096999999999994</v>
      </c>
      <c r="E238" s="46">
        <v>-8.6999999999999994E-2</v>
      </c>
      <c r="F238" s="46">
        <v>4.6639999999999997</v>
      </c>
      <c r="G238" s="48">
        <f t="shared" si="3"/>
        <v>98.09</v>
      </c>
    </row>
    <row r="239" spans="1:7" x14ac:dyDescent="0.2">
      <c r="A239" s="41">
        <v>48806</v>
      </c>
      <c r="B239" s="42">
        <v>3.875</v>
      </c>
      <c r="C239" s="43">
        <v>95.085999999999999</v>
      </c>
      <c r="D239" s="43">
        <v>95.102000000000004</v>
      </c>
      <c r="E239" s="42">
        <v>-8.4000000000000005E-2</v>
      </c>
      <c r="F239" s="42">
        <v>4.6710000000000003</v>
      </c>
      <c r="G239" s="44">
        <f t="shared" si="3"/>
        <v>95.093999999999994</v>
      </c>
    </row>
    <row r="240" spans="1:7" x14ac:dyDescent="0.2">
      <c r="A240" s="53">
        <v>48822</v>
      </c>
      <c r="B240" s="54">
        <v>4.5</v>
      </c>
      <c r="C240" s="55">
        <v>98.31</v>
      </c>
      <c r="D240" s="55">
        <v>99.004000000000005</v>
      </c>
      <c r="E240" s="54">
        <v>-0.76700000000000002</v>
      </c>
      <c r="F240" s="54">
        <v>4.6669999999999998</v>
      </c>
      <c r="G240" s="56">
        <f t="shared" si="3"/>
        <v>98.657000000000011</v>
      </c>
    </row>
    <row r="241" spans="1:7" x14ac:dyDescent="0.2">
      <c r="A241" s="41">
        <v>48898</v>
      </c>
      <c r="B241" s="42">
        <v>4.5</v>
      </c>
      <c r="C241" s="43">
        <v>98.272000000000006</v>
      </c>
      <c r="D241" s="43">
        <v>98.292000000000002</v>
      </c>
      <c r="E241" s="42">
        <v>-0.77</v>
      </c>
      <c r="F241" s="42">
        <v>4.6779999999999999</v>
      </c>
      <c r="G241" s="44">
        <f t="shared" si="3"/>
        <v>98.282000000000011</v>
      </c>
    </row>
    <row r="242" spans="1:7" x14ac:dyDescent="0.2">
      <c r="A242" s="45">
        <v>48990</v>
      </c>
      <c r="B242" s="46">
        <v>4</v>
      </c>
      <c r="C242" s="47">
        <v>95.194000000000003</v>
      </c>
      <c r="D242" s="47">
        <v>95.213999999999999</v>
      </c>
      <c r="E242" s="46">
        <v>-8.7999999999999995E-2</v>
      </c>
      <c r="F242" s="46">
        <v>4.6950000000000003</v>
      </c>
      <c r="G242" s="48">
        <f t="shared" si="3"/>
        <v>95.204000000000008</v>
      </c>
    </row>
    <row r="243" spans="1:7" x14ac:dyDescent="0.2">
      <c r="A243" s="41">
        <v>49079</v>
      </c>
      <c r="B243" s="42">
        <v>4.375</v>
      </c>
      <c r="C243" s="43">
        <v>97.272000000000006</v>
      </c>
      <c r="D243" s="43">
        <v>97.292000000000002</v>
      </c>
      <c r="E243" s="42">
        <v>-0.77</v>
      </c>
      <c r="F243" s="42">
        <v>4.7</v>
      </c>
      <c r="G243" s="44">
        <f t="shared" si="3"/>
        <v>97.282000000000011</v>
      </c>
    </row>
    <row r="244" spans="1:7" x14ac:dyDescent="0.2">
      <c r="A244" s="45">
        <v>49171</v>
      </c>
      <c r="B244" s="46">
        <v>3.875</v>
      </c>
      <c r="C244" s="47">
        <v>94.126000000000005</v>
      </c>
      <c r="D244" s="47">
        <v>94.146000000000001</v>
      </c>
      <c r="E244" s="46">
        <v>-8.7999999999999995E-2</v>
      </c>
      <c r="F244" s="46">
        <v>4.718</v>
      </c>
      <c r="G244" s="48">
        <f t="shared" si="3"/>
        <v>94.135999999999996</v>
      </c>
    </row>
    <row r="245" spans="1:7" x14ac:dyDescent="0.2">
      <c r="A245" s="41">
        <v>49263</v>
      </c>
      <c r="B245" s="42">
        <v>4.25</v>
      </c>
      <c r="C245" s="43">
        <v>96.221999999999994</v>
      </c>
      <c r="D245" s="43">
        <v>96.242000000000004</v>
      </c>
      <c r="E245" s="42">
        <v>-9.1999999999999998E-2</v>
      </c>
      <c r="F245" s="42">
        <v>4.7309999999999999</v>
      </c>
      <c r="G245" s="44">
        <f t="shared" si="3"/>
        <v>96.231999999999999</v>
      </c>
    </row>
    <row r="246" spans="1:7" x14ac:dyDescent="0.2">
      <c r="A246" s="45">
        <v>49355</v>
      </c>
      <c r="B246" s="46">
        <v>4.625</v>
      </c>
      <c r="C246" s="47">
        <v>99.046000000000006</v>
      </c>
      <c r="D246" s="47">
        <v>99.066000000000003</v>
      </c>
      <c r="E246" s="46">
        <v>-9.8000000000000004E-2</v>
      </c>
      <c r="F246" s="46">
        <v>4.7389999999999999</v>
      </c>
      <c r="G246" s="48">
        <f t="shared" si="3"/>
        <v>99.056000000000012</v>
      </c>
    </row>
    <row r="247" spans="1:7" x14ac:dyDescent="0.2">
      <c r="A247" s="41">
        <v>49444</v>
      </c>
      <c r="B247" s="42">
        <v>4.25</v>
      </c>
      <c r="C247" s="43">
        <v>96.126000000000005</v>
      </c>
      <c r="D247" s="43">
        <v>96.146000000000001</v>
      </c>
      <c r="E247" s="42">
        <v>-9.6000000000000002E-2</v>
      </c>
      <c r="F247" s="42">
        <v>4.75</v>
      </c>
      <c r="G247" s="44">
        <f t="shared" si="3"/>
        <v>96.135999999999996</v>
      </c>
    </row>
    <row r="248" spans="1:7" x14ac:dyDescent="0.2">
      <c r="A248" s="45">
        <v>49536</v>
      </c>
      <c r="B248" s="46">
        <v>4.25</v>
      </c>
      <c r="C248" s="47">
        <v>96.075999999999993</v>
      </c>
      <c r="D248" s="47">
        <v>96.096000000000004</v>
      </c>
      <c r="E248" s="46">
        <v>-9.8000000000000004E-2</v>
      </c>
      <c r="F248" s="46">
        <v>4.7619999999999996</v>
      </c>
      <c r="G248" s="48">
        <f t="shared" si="3"/>
        <v>96.085999999999999</v>
      </c>
    </row>
    <row r="249" spans="1:7" x14ac:dyDescent="0.2">
      <c r="A249" s="41">
        <v>49628</v>
      </c>
      <c r="B249" s="42">
        <v>4</v>
      </c>
      <c r="C249" s="43">
        <v>94.075999999999993</v>
      </c>
      <c r="D249" s="43">
        <v>94.096000000000004</v>
      </c>
      <c r="E249" s="42">
        <v>-9.8000000000000004E-2</v>
      </c>
      <c r="F249" s="42">
        <v>4.7709999999999999</v>
      </c>
      <c r="G249" s="44">
        <f t="shared" si="3"/>
        <v>94.085999999999999</v>
      </c>
    </row>
    <row r="250" spans="1:7" x14ac:dyDescent="0.2">
      <c r="A250" s="45">
        <v>49720</v>
      </c>
      <c r="B250" s="46">
        <v>4.125</v>
      </c>
      <c r="C250" s="47">
        <v>94.316000000000003</v>
      </c>
      <c r="D250" s="47">
        <v>95.016000000000005</v>
      </c>
      <c r="E250" s="46">
        <v>-0.78600000000000003</v>
      </c>
      <c r="F250" s="46">
        <v>4.7809999999999997</v>
      </c>
      <c r="G250" s="48">
        <f t="shared" si="3"/>
        <v>94.665999999999997</v>
      </c>
    </row>
    <row r="251" spans="1:7" x14ac:dyDescent="0.2">
      <c r="A251" s="41">
        <v>49720</v>
      </c>
      <c r="B251" s="42">
        <v>4.5</v>
      </c>
      <c r="C251" s="43">
        <v>98.165999999999997</v>
      </c>
      <c r="D251" s="43">
        <v>98.186000000000007</v>
      </c>
      <c r="E251" s="42">
        <v>-9.8000000000000004E-2</v>
      </c>
      <c r="F251" s="42">
        <v>4.6870000000000003</v>
      </c>
      <c r="G251" s="44">
        <f t="shared" si="3"/>
        <v>98.176000000000002</v>
      </c>
    </row>
    <row r="252" spans="1:7" x14ac:dyDescent="0.2">
      <c r="A252" s="45">
        <v>49810</v>
      </c>
      <c r="B252" s="46">
        <v>4.375</v>
      </c>
      <c r="C252" s="47">
        <v>96.242000000000004</v>
      </c>
      <c r="D252" s="47">
        <v>96.262</v>
      </c>
      <c r="E252" s="46">
        <v>-0.78400000000000003</v>
      </c>
      <c r="F252" s="46">
        <v>4.7880000000000003</v>
      </c>
      <c r="G252" s="48">
        <f t="shared" si="3"/>
        <v>96.25200000000001</v>
      </c>
    </row>
    <row r="253" spans="1:7" x14ac:dyDescent="0.2">
      <c r="A253" s="49">
        <v>49902</v>
      </c>
      <c r="B253" s="50">
        <v>4.625</v>
      </c>
      <c r="C253" s="51">
        <v>98.194000000000003</v>
      </c>
      <c r="D253" s="51">
        <v>98.213999999999999</v>
      </c>
      <c r="E253" s="50">
        <v>-0.106</v>
      </c>
      <c r="F253" s="50">
        <v>4.7939999999999996</v>
      </c>
      <c r="G253" s="52">
        <f t="shared" si="3"/>
        <v>98.204000000000008</v>
      </c>
    </row>
    <row r="254" spans="1:7" x14ac:dyDescent="0.2">
      <c r="A254" s="45">
        <v>50086</v>
      </c>
      <c r="B254" s="46">
        <v>4.75</v>
      </c>
      <c r="C254" s="47">
        <v>99.293999999999997</v>
      </c>
      <c r="D254" s="47">
        <v>99.313999999999993</v>
      </c>
      <c r="E254" s="46">
        <v>-0.78800000000000003</v>
      </c>
      <c r="F254" s="46">
        <v>4.7519999999999998</v>
      </c>
      <c r="G254" s="48">
        <f t="shared" si="3"/>
        <v>99.304000000000002</v>
      </c>
    </row>
    <row r="255" spans="1:7" x14ac:dyDescent="0.2">
      <c r="A255" s="41">
        <v>50175</v>
      </c>
      <c r="B255" s="42">
        <v>5</v>
      </c>
      <c r="C255" s="43">
        <v>102</v>
      </c>
      <c r="D255" s="43">
        <v>102.02</v>
      </c>
      <c r="E255" s="42">
        <v>-0.106</v>
      </c>
      <c r="F255" s="42">
        <v>4.7510000000000003</v>
      </c>
      <c r="G255" s="44">
        <f t="shared" si="3"/>
        <v>102.00999999999999</v>
      </c>
    </row>
    <row r="256" spans="1:7" x14ac:dyDescent="0.2">
      <c r="A256" s="45">
        <v>50451</v>
      </c>
      <c r="B256" s="46">
        <v>4.375</v>
      </c>
      <c r="C256" s="47">
        <v>96.123999999999995</v>
      </c>
      <c r="D256" s="47">
        <v>96.144000000000005</v>
      </c>
      <c r="E256" s="46">
        <v>-0.10199999999999999</v>
      </c>
      <c r="F256" s="46">
        <v>4.7809999999999997</v>
      </c>
      <c r="G256" s="48">
        <f t="shared" si="3"/>
        <v>96.134</v>
      </c>
    </row>
    <row r="257" spans="1:7" x14ac:dyDescent="0.2">
      <c r="A257" s="41">
        <v>50540</v>
      </c>
      <c r="B257" s="42">
        <v>4.5</v>
      </c>
      <c r="C257" s="43">
        <v>97.025999999999996</v>
      </c>
      <c r="D257" s="43">
        <v>97.046000000000006</v>
      </c>
      <c r="E257" s="42">
        <v>-0.11</v>
      </c>
      <c r="F257" s="42">
        <v>4.8209999999999997</v>
      </c>
      <c r="G257" s="44">
        <f t="shared" si="3"/>
        <v>97.036000000000001</v>
      </c>
    </row>
    <row r="258" spans="1:7" x14ac:dyDescent="0.2">
      <c r="A258" s="45">
        <v>50816</v>
      </c>
      <c r="B258" s="46">
        <v>3.5</v>
      </c>
      <c r="C258" s="47">
        <v>87.06</v>
      </c>
      <c r="D258" s="47">
        <v>87.08</v>
      </c>
      <c r="E258" s="46">
        <v>-9.1999999999999998E-2</v>
      </c>
      <c r="F258" s="46">
        <v>4.8780000000000001</v>
      </c>
      <c r="G258" s="48">
        <f t="shared" si="3"/>
        <v>87.07</v>
      </c>
    </row>
    <row r="259" spans="1:7" x14ac:dyDescent="0.2">
      <c r="A259" s="41">
        <v>50905</v>
      </c>
      <c r="B259" s="42">
        <v>4.25</v>
      </c>
      <c r="C259" s="43">
        <v>93.201999999999998</v>
      </c>
      <c r="D259" s="43">
        <v>93.221999999999994</v>
      </c>
      <c r="E259" s="42">
        <v>-0.09</v>
      </c>
      <c r="F259" s="42">
        <v>4.923</v>
      </c>
      <c r="G259" s="44">
        <f t="shared" si="3"/>
        <v>93.211999999999989</v>
      </c>
    </row>
    <row r="260" spans="1:7" x14ac:dyDescent="0.2">
      <c r="A260" s="45">
        <v>50997</v>
      </c>
      <c r="B260" s="46">
        <v>4.5</v>
      </c>
      <c r="C260" s="47">
        <v>95.195999999999998</v>
      </c>
      <c r="D260" s="47">
        <v>95.215999999999994</v>
      </c>
      <c r="E260" s="46">
        <v>-0.106</v>
      </c>
      <c r="F260" s="46">
        <v>4.9560000000000004</v>
      </c>
      <c r="G260" s="48">
        <f t="shared" ref="G260:G323" si="4">AVERAGE(C260,D260)</f>
        <v>95.205999999999989</v>
      </c>
    </row>
    <row r="261" spans="1:7" x14ac:dyDescent="0.2">
      <c r="A261" s="41">
        <v>51089</v>
      </c>
      <c r="B261" s="42">
        <v>4.375</v>
      </c>
      <c r="C261" s="43">
        <v>94.04</v>
      </c>
      <c r="D261" s="43">
        <v>94.06</v>
      </c>
      <c r="E261" s="42">
        <v>-0.1</v>
      </c>
      <c r="F261" s="42">
        <v>4.9800000000000004</v>
      </c>
      <c r="G261" s="44">
        <f t="shared" si="4"/>
        <v>94.050000000000011</v>
      </c>
    </row>
    <row r="262" spans="1:7" x14ac:dyDescent="0.2">
      <c r="A262" s="45">
        <v>51181</v>
      </c>
      <c r="B262" s="46">
        <v>4.625</v>
      </c>
      <c r="C262" s="47">
        <v>96.123999999999995</v>
      </c>
      <c r="D262" s="47">
        <v>96.144000000000005</v>
      </c>
      <c r="E262" s="46">
        <v>-0.106</v>
      </c>
      <c r="F262" s="46">
        <v>4.99</v>
      </c>
      <c r="G262" s="48">
        <f t="shared" si="4"/>
        <v>96.134</v>
      </c>
    </row>
    <row r="263" spans="1:7" x14ac:dyDescent="0.2">
      <c r="A263" s="41">
        <v>51271</v>
      </c>
      <c r="B263" s="42">
        <v>1.125</v>
      </c>
      <c r="C263" s="43">
        <v>61.084000000000003</v>
      </c>
      <c r="D263" s="43">
        <v>61.103999999999999</v>
      </c>
      <c r="E263" s="42">
        <v>-7.1999999999999995E-2</v>
      </c>
      <c r="F263" s="42">
        <v>5.0759999999999996</v>
      </c>
      <c r="G263" s="44">
        <f t="shared" si="4"/>
        <v>61.094000000000001</v>
      </c>
    </row>
    <row r="264" spans="1:7" x14ac:dyDescent="0.2">
      <c r="A264" s="45">
        <v>51271</v>
      </c>
      <c r="B264" s="46">
        <v>4.375</v>
      </c>
      <c r="C264" s="47">
        <v>93.23</v>
      </c>
      <c r="D264" s="47">
        <v>93.25</v>
      </c>
      <c r="E264" s="46">
        <v>-0.77400000000000002</v>
      </c>
      <c r="F264" s="46">
        <v>5.0069999999999997</v>
      </c>
      <c r="G264" s="48">
        <f t="shared" si="4"/>
        <v>93.240000000000009</v>
      </c>
    </row>
    <row r="265" spans="1:7" x14ac:dyDescent="0.2">
      <c r="A265" s="41">
        <v>51363</v>
      </c>
      <c r="B265" s="42">
        <v>3.875</v>
      </c>
      <c r="C265" s="43">
        <v>88.141999999999996</v>
      </c>
      <c r="D265" s="43">
        <v>88.162000000000006</v>
      </c>
      <c r="E265" s="42">
        <v>-9.1999999999999998E-2</v>
      </c>
      <c r="F265" s="42">
        <v>5.0309999999999997</v>
      </c>
      <c r="G265" s="44">
        <f t="shared" si="4"/>
        <v>88.152000000000001</v>
      </c>
    </row>
    <row r="266" spans="1:7" x14ac:dyDescent="0.2">
      <c r="A266" s="45">
        <v>51363</v>
      </c>
      <c r="B266" s="46">
        <v>1.125</v>
      </c>
      <c r="C266" s="47">
        <v>60.192</v>
      </c>
      <c r="D266" s="47">
        <v>60.212000000000003</v>
      </c>
      <c r="E266" s="46">
        <v>-6.4000000000000001E-2</v>
      </c>
      <c r="F266" s="46">
        <v>5.0999999999999996</v>
      </c>
      <c r="G266" s="48">
        <f t="shared" si="4"/>
        <v>60.201999999999998</v>
      </c>
    </row>
    <row r="267" spans="1:7" x14ac:dyDescent="0.2">
      <c r="A267" s="41">
        <v>51455</v>
      </c>
      <c r="B267" s="42">
        <v>1.375</v>
      </c>
      <c r="C267" s="43">
        <v>62.16</v>
      </c>
      <c r="D267" s="43">
        <v>62.18</v>
      </c>
      <c r="E267" s="42">
        <v>-7.1999999999999995E-2</v>
      </c>
      <c r="F267" s="42">
        <v>5.1159999999999997</v>
      </c>
      <c r="G267" s="44">
        <f t="shared" si="4"/>
        <v>62.17</v>
      </c>
    </row>
    <row r="268" spans="1:7" x14ac:dyDescent="0.2">
      <c r="A268" s="45">
        <v>51455</v>
      </c>
      <c r="B268" s="46">
        <v>4.25</v>
      </c>
      <c r="C268" s="47">
        <v>91.293999999999997</v>
      </c>
      <c r="D268" s="47">
        <v>91.313999999999993</v>
      </c>
      <c r="E268" s="46">
        <v>-0.78</v>
      </c>
      <c r="F268" s="46">
        <v>5.0469999999999997</v>
      </c>
      <c r="G268" s="48">
        <f t="shared" si="4"/>
        <v>91.304000000000002</v>
      </c>
    </row>
    <row r="269" spans="1:7" x14ac:dyDescent="0.2">
      <c r="A269" s="41">
        <v>51547</v>
      </c>
      <c r="B269" s="42">
        <v>1.875</v>
      </c>
      <c r="C269" s="43">
        <v>67.016000000000005</v>
      </c>
      <c r="D269" s="43">
        <v>67.036000000000001</v>
      </c>
      <c r="E269" s="42">
        <v>-7.5999999999999998E-2</v>
      </c>
      <c r="F269" s="42">
        <v>5.1230000000000002</v>
      </c>
      <c r="G269" s="44">
        <f t="shared" si="4"/>
        <v>67.02600000000001</v>
      </c>
    </row>
    <row r="270" spans="1:7" x14ac:dyDescent="0.2">
      <c r="A270" s="45">
        <v>51547</v>
      </c>
      <c r="B270" s="46">
        <v>4.75</v>
      </c>
      <c r="C270" s="47">
        <v>96.244</v>
      </c>
      <c r="D270" s="47">
        <v>96.263999999999996</v>
      </c>
      <c r="E270" s="46">
        <v>-0.78200000000000003</v>
      </c>
      <c r="F270" s="46">
        <v>5.0620000000000003</v>
      </c>
      <c r="G270" s="48">
        <f t="shared" si="4"/>
        <v>96.253999999999991</v>
      </c>
    </row>
    <row r="271" spans="1:7" x14ac:dyDescent="0.2">
      <c r="A271" s="41">
        <v>51636</v>
      </c>
      <c r="B271" s="42">
        <v>2.25</v>
      </c>
      <c r="C271" s="43">
        <v>70.134</v>
      </c>
      <c r="D271" s="43">
        <v>70.153999999999996</v>
      </c>
      <c r="E271" s="42">
        <v>-7.0000000000000007E-2</v>
      </c>
      <c r="F271" s="42">
        <v>5.1340000000000003</v>
      </c>
      <c r="G271" s="44">
        <f t="shared" si="4"/>
        <v>70.144000000000005</v>
      </c>
    </row>
    <row r="272" spans="1:7" x14ac:dyDescent="0.2">
      <c r="A272" s="45">
        <v>51636</v>
      </c>
      <c r="B272" s="46">
        <v>4.375</v>
      </c>
      <c r="C272" s="47">
        <v>92.212000000000003</v>
      </c>
      <c r="D272" s="47">
        <v>92.231999999999999</v>
      </c>
      <c r="E272" s="46">
        <v>-0.1</v>
      </c>
      <c r="F272" s="46">
        <v>5.0830000000000002</v>
      </c>
      <c r="G272" s="48">
        <f t="shared" si="4"/>
        <v>92.222000000000008</v>
      </c>
    </row>
    <row r="273" spans="1:7" x14ac:dyDescent="0.2">
      <c r="A273" s="41">
        <v>51728</v>
      </c>
      <c r="B273" s="42">
        <v>1.75</v>
      </c>
      <c r="C273" s="43">
        <v>64.22</v>
      </c>
      <c r="D273" s="43">
        <v>64.239999999999995</v>
      </c>
      <c r="E273" s="42">
        <v>-7.1999999999999995E-2</v>
      </c>
      <c r="F273" s="42">
        <v>5.1619999999999999</v>
      </c>
      <c r="G273" s="44">
        <f t="shared" si="4"/>
        <v>64.22999999999999</v>
      </c>
    </row>
    <row r="274" spans="1:7" x14ac:dyDescent="0.2">
      <c r="A274" s="45">
        <v>51728</v>
      </c>
      <c r="B274" s="46">
        <v>3.75</v>
      </c>
      <c r="C274" s="47">
        <v>85.28</v>
      </c>
      <c r="D274" s="47">
        <v>85.3</v>
      </c>
      <c r="E274" s="46">
        <v>-0.76600000000000001</v>
      </c>
      <c r="F274" s="46">
        <v>5.1059999999999999</v>
      </c>
      <c r="G274" s="48">
        <f t="shared" si="4"/>
        <v>85.289999999999992</v>
      </c>
    </row>
    <row r="275" spans="1:7" x14ac:dyDescent="0.2">
      <c r="A275" s="41">
        <v>51820</v>
      </c>
      <c r="B275" s="42">
        <v>3.125</v>
      </c>
      <c r="C275" s="43">
        <v>78.275999999999996</v>
      </c>
      <c r="D275" s="43">
        <v>78.296000000000006</v>
      </c>
      <c r="E275" s="42">
        <v>-0.76600000000000001</v>
      </c>
      <c r="F275" s="42">
        <v>5.1390000000000002</v>
      </c>
      <c r="G275" s="44">
        <f t="shared" si="4"/>
        <v>78.286000000000001</v>
      </c>
    </row>
    <row r="276" spans="1:7" x14ac:dyDescent="0.2">
      <c r="A276" s="45">
        <v>51835</v>
      </c>
      <c r="B276" s="46">
        <v>2</v>
      </c>
      <c r="C276" s="47">
        <v>66.251999999999995</v>
      </c>
      <c r="D276" s="47">
        <v>66.272000000000006</v>
      </c>
      <c r="E276" s="46">
        <v>-0.75800000000000001</v>
      </c>
      <c r="F276" s="46">
        <v>5.1760000000000002</v>
      </c>
      <c r="G276" s="48">
        <f t="shared" si="4"/>
        <v>66.262</v>
      </c>
    </row>
    <row r="277" spans="1:7" x14ac:dyDescent="0.2">
      <c r="A277" s="41">
        <v>51912</v>
      </c>
      <c r="B277" s="42">
        <v>2.375</v>
      </c>
      <c r="C277" s="43">
        <v>70.093999999999994</v>
      </c>
      <c r="D277" s="43">
        <v>70.114000000000004</v>
      </c>
      <c r="E277" s="42">
        <v>-7.8E-2</v>
      </c>
      <c r="F277" s="42">
        <v>5.1870000000000003</v>
      </c>
      <c r="G277" s="44">
        <f t="shared" si="4"/>
        <v>70.103999999999999</v>
      </c>
    </row>
    <row r="278" spans="1:7" x14ac:dyDescent="0.2">
      <c r="A278" s="45">
        <v>51912</v>
      </c>
      <c r="B278" s="46">
        <v>3.125</v>
      </c>
      <c r="C278" s="47">
        <v>78.14</v>
      </c>
      <c r="D278" s="47">
        <v>78.16</v>
      </c>
      <c r="E278" s="46">
        <v>-7.5999999999999998E-2</v>
      </c>
      <c r="F278" s="46">
        <v>5.1609999999999996</v>
      </c>
      <c r="G278" s="48">
        <f t="shared" si="4"/>
        <v>78.150000000000006</v>
      </c>
    </row>
    <row r="279" spans="1:7" x14ac:dyDescent="0.2">
      <c r="A279" s="41">
        <v>52001</v>
      </c>
      <c r="B279" s="42">
        <v>3</v>
      </c>
      <c r="C279" s="43">
        <v>76.221999999999994</v>
      </c>
      <c r="D279" s="43">
        <v>76.242000000000004</v>
      </c>
      <c r="E279" s="42">
        <v>-8.4000000000000005E-2</v>
      </c>
      <c r="F279" s="42">
        <v>5.181</v>
      </c>
      <c r="G279" s="44">
        <f t="shared" si="4"/>
        <v>76.231999999999999</v>
      </c>
    </row>
    <row r="280" spans="1:7" x14ac:dyDescent="0.2">
      <c r="A280" s="45">
        <v>52001</v>
      </c>
      <c r="B280" s="46">
        <v>3.25</v>
      </c>
      <c r="C280" s="47">
        <v>79.111999999999995</v>
      </c>
      <c r="D280" s="47">
        <v>79.132000000000005</v>
      </c>
      <c r="E280" s="46">
        <v>-8.7999999999999995E-2</v>
      </c>
      <c r="F280" s="46">
        <v>5.1820000000000004</v>
      </c>
      <c r="G280" s="48">
        <f t="shared" si="4"/>
        <v>79.122</v>
      </c>
    </row>
    <row r="281" spans="1:7" x14ac:dyDescent="0.2">
      <c r="A281" s="41">
        <v>52093</v>
      </c>
      <c r="B281" s="42">
        <v>2.75</v>
      </c>
      <c r="C281" s="43">
        <v>73.19</v>
      </c>
      <c r="D281" s="43">
        <v>73.209999999999994</v>
      </c>
      <c r="E281" s="42">
        <v>-7.3999999999999996E-2</v>
      </c>
      <c r="F281" s="42">
        <v>5.2</v>
      </c>
      <c r="G281" s="44">
        <f t="shared" si="4"/>
        <v>73.199999999999989</v>
      </c>
    </row>
    <row r="282" spans="1:7" x14ac:dyDescent="0.2">
      <c r="A282" s="45">
        <v>52093</v>
      </c>
      <c r="B282" s="46">
        <v>3.375</v>
      </c>
      <c r="C282" s="47">
        <v>80.123999999999995</v>
      </c>
      <c r="D282" s="47">
        <v>80.144000000000005</v>
      </c>
      <c r="E282" s="46">
        <v>-0.08</v>
      </c>
      <c r="F282" s="46">
        <v>5.1920000000000002</v>
      </c>
      <c r="G282" s="48">
        <f t="shared" si="4"/>
        <v>80.134</v>
      </c>
    </row>
    <row r="283" spans="1:7" x14ac:dyDescent="0.2">
      <c r="A283" s="41">
        <v>52185</v>
      </c>
      <c r="B283" s="42">
        <v>2.75</v>
      </c>
      <c r="C283" s="43">
        <v>73.06</v>
      </c>
      <c r="D283" s="43">
        <v>73.08</v>
      </c>
      <c r="E283" s="42">
        <v>-7.1999999999999995E-2</v>
      </c>
      <c r="F283" s="42">
        <v>5.2160000000000002</v>
      </c>
      <c r="G283" s="44">
        <f t="shared" si="4"/>
        <v>73.069999999999993</v>
      </c>
    </row>
    <row r="284" spans="1:7" x14ac:dyDescent="0.2">
      <c r="A284" s="45">
        <v>52185</v>
      </c>
      <c r="B284" s="46">
        <v>4</v>
      </c>
      <c r="C284" s="47">
        <v>86.302000000000007</v>
      </c>
      <c r="D284" s="47">
        <v>87.001999999999995</v>
      </c>
      <c r="E284" s="46">
        <v>-0.77</v>
      </c>
      <c r="F284" s="46">
        <v>5.1950000000000003</v>
      </c>
      <c r="G284" s="48">
        <f t="shared" si="4"/>
        <v>86.652000000000001</v>
      </c>
    </row>
    <row r="285" spans="1:7" x14ac:dyDescent="0.2">
      <c r="A285" s="41">
        <v>52277</v>
      </c>
      <c r="B285" s="42">
        <v>3.125</v>
      </c>
      <c r="C285" s="43">
        <v>76.305999999999997</v>
      </c>
      <c r="D285" s="43">
        <v>77.006</v>
      </c>
      <c r="E285" s="42">
        <v>-0.76</v>
      </c>
      <c r="F285" s="42">
        <v>5.2240000000000002</v>
      </c>
      <c r="G285" s="44">
        <f t="shared" si="4"/>
        <v>76.656000000000006</v>
      </c>
    </row>
    <row r="286" spans="1:7" x14ac:dyDescent="0.2">
      <c r="A286" s="45">
        <v>52277</v>
      </c>
      <c r="B286" s="46">
        <v>3.875</v>
      </c>
      <c r="C286" s="47">
        <v>85.1</v>
      </c>
      <c r="D286" s="47">
        <v>85.12</v>
      </c>
      <c r="E286" s="46">
        <v>-7.5999999999999998E-2</v>
      </c>
      <c r="F286" s="46">
        <v>5.2089999999999996</v>
      </c>
      <c r="G286" s="48">
        <f t="shared" si="4"/>
        <v>85.11</v>
      </c>
    </row>
    <row r="287" spans="1:7" x14ac:dyDescent="0.2">
      <c r="A287" s="41">
        <v>52366</v>
      </c>
      <c r="B287" s="42">
        <v>3.875</v>
      </c>
      <c r="C287" s="43">
        <v>85.016000000000005</v>
      </c>
      <c r="D287" s="43">
        <v>85.036000000000001</v>
      </c>
      <c r="E287" s="42">
        <v>-8.7999999999999995E-2</v>
      </c>
      <c r="F287" s="42">
        <v>5.2210000000000001</v>
      </c>
      <c r="G287" s="44">
        <f t="shared" si="4"/>
        <v>85.02600000000001</v>
      </c>
    </row>
    <row r="288" spans="1:7" x14ac:dyDescent="0.2">
      <c r="A288" s="45">
        <v>52366</v>
      </c>
      <c r="B288" s="46">
        <v>2.875</v>
      </c>
      <c r="C288" s="47">
        <v>73.275999999999996</v>
      </c>
      <c r="D288" s="47">
        <v>73.296000000000006</v>
      </c>
      <c r="E288" s="46">
        <v>-0.75800000000000001</v>
      </c>
      <c r="F288" s="46">
        <v>5.2350000000000003</v>
      </c>
      <c r="G288" s="48">
        <f t="shared" si="4"/>
        <v>73.286000000000001</v>
      </c>
    </row>
    <row r="289" spans="1:7" x14ac:dyDescent="0.2">
      <c r="A289" s="41">
        <v>52458</v>
      </c>
      <c r="B289" s="42">
        <v>3.625</v>
      </c>
      <c r="C289" s="43">
        <v>81.31</v>
      </c>
      <c r="D289" s="43">
        <v>82.01</v>
      </c>
      <c r="E289" s="42">
        <v>-0.754</v>
      </c>
      <c r="F289" s="42">
        <v>5.2370000000000001</v>
      </c>
      <c r="G289" s="44">
        <f t="shared" si="4"/>
        <v>81.66</v>
      </c>
    </row>
    <row r="290" spans="1:7" x14ac:dyDescent="0.2">
      <c r="A290" s="45">
        <v>52458</v>
      </c>
      <c r="B290" s="46">
        <v>4.375</v>
      </c>
      <c r="C290" s="47">
        <v>90.153999999999996</v>
      </c>
      <c r="D290" s="47">
        <v>90.174000000000007</v>
      </c>
      <c r="E290" s="46">
        <v>-9.1999999999999998E-2</v>
      </c>
      <c r="F290" s="46">
        <v>5.2220000000000004</v>
      </c>
      <c r="G290" s="48">
        <f t="shared" si="4"/>
        <v>90.164000000000001</v>
      </c>
    </row>
    <row r="291" spans="1:7" x14ac:dyDescent="0.2">
      <c r="A291" s="41">
        <v>52550</v>
      </c>
      <c r="B291" s="42">
        <v>3.75</v>
      </c>
      <c r="C291" s="43">
        <v>83.05</v>
      </c>
      <c r="D291" s="43">
        <v>83.07</v>
      </c>
      <c r="E291" s="42">
        <v>-0.09</v>
      </c>
      <c r="F291" s="42">
        <v>5.242</v>
      </c>
      <c r="G291" s="44">
        <f t="shared" si="4"/>
        <v>83.06</v>
      </c>
    </row>
    <row r="292" spans="1:7" x14ac:dyDescent="0.2">
      <c r="A292" s="45">
        <v>52550</v>
      </c>
      <c r="B292" s="46">
        <v>4.75</v>
      </c>
      <c r="C292" s="47">
        <v>94.206000000000003</v>
      </c>
      <c r="D292" s="47">
        <v>94.225999999999999</v>
      </c>
      <c r="E292" s="46">
        <v>-8.4000000000000005E-2</v>
      </c>
      <c r="F292" s="46">
        <v>5.2190000000000003</v>
      </c>
      <c r="G292" s="48">
        <f t="shared" si="4"/>
        <v>94.216000000000008</v>
      </c>
    </row>
    <row r="293" spans="1:7" x14ac:dyDescent="0.2">
      <c r="A293" s="41">
        <v>52642</v>
      </c>
      <c r="B293" s="42">
        <v>3.625</v>
      </c>
      <c r="C293" s="43">
        <v>81.16</v>
      </c>
      <c r="D293" s="43">
        <v>81.180000000000007</v>
      </c>
      <c r="E293" s="42">
        <v>-7.1999999999999995E-2</v>
      </c>
      <c r="F293" s="42">
        <v>5.2510000000000003</v>
      </c>
      <c r="G293" s="44">
        <f t="shared" si="4"/>
        <v>81.17</v>
      </c>
    </row>
    <row r="294" spans="1:7" x14ac:dyDescent="0.2">
      <c r="A294" s="45">
        <v>52642</v>
      </c>
      <c r="B294" s="46">
        <v>4.5</v>
      </c>
      <c r="C294" s="47">
        <v>91.186000000000007</v>
      </c>
      <c r="D294" s="47">
        <v>91.206000000000003</v>
      </c>
      <c r="E294" s="46">
        <v>-8.7999999999999995E-2</v>
      </c>
      <c r="F294" s="46">
        <v>5.2359999999999998</v>
      </c>
      <c r="G294" s="48">
        <f t="shared" si="4"/>
        <v>91.195999999999998</v>
      </c>
    </row>
    <row r="295" spans="1:7" x14ac:dyDescent="0.2">
      <c r="A295" s="41">
        <v>52732</v>
      </c>
      <c r="B295" s="42">
        <v>3.375</v>
      </c>
      <c r="C295" s="43">
        <v>78.116</v>
      </c>
      <c r="D295" s="43">
        <v>78.135999999999996</v>
      </c>
      <c r="E295" s="42">
        <v>-8.4000000000000005E-2</v>
      </c>
      <c r="F295" s="42">
        <v>5.2619999999999996</v>
      </c>
      <c r="G295" s="44">
        <f t="shared" si="4"/>
        <v>78.126000000000005</v>
      </c>
    </row>
    <row r="296" spans="1:7" x14ac:dyDescent="0.2">
      <c r="A296" s="45">
        <v>52732</v>
      </c>
      <c r="B296" s="46">
        <v>4.625</v>
      </c>
      <c r="C296" s="47">
        <v>92.28</v>
      </c>
      <c r="D296" s="47">
        <v>92.3</v>
      </c>
      <c r="E296" s="46">
        <v>-0.77200000000000002</v>
      </c>
      <c r="F296" s="46">
        <v>5.242</v>
      </c>
      <c r="G296" s="48">
        <f t="shared" si="4"/>
        <v>92.289999999999992</v>
      </c>
    </row>
    <row r="297" spans="1:7" x14ac:dyDescent="0.2">
      <c r="A297" s="41">
        <v>52824</v>
      </c>
      <c r="B297" s="42">
        <v>3.125</v>
      </c>
      <c r="C297" s="43">
        <v>75.043999999999997</v>
      </c>
      <c r="D297" s="43">
        <v>75.063999999999993</v>
      </c>
      <c r="E297" s="42">
        <v>-7.8E-2</v>
      </c>
      <c r="F297" s="42">
        <v>5.28</v>
      </c>
      <c r="G297" s="44">
        <f t="shared" si="4"/>
        <v>75.054000000000002</v>
      </c>
    </row>
    <row r="298" spans="1:7" x14ac:dyDescent="0.2">
      <c r="A298" s="45">
        <v>52824</v>
      </c>
      <c r="B298" s="46">
        <v>4.125</v>
      </c>
      <c r="C298" s="47">
        <v>86.274000000000001</v>
      </c>
      <c r="D298" s="47">
        <v>86.293999999999997</v>
      </c>
      <c r="E298" s="46">
        <v>-0.77200000000000002</v>
      </c>
      <c r="F298" s="46">
        <v>5.2590000000000003</v>
      </c>
      <c r="G298" s="48">
        <f t="shared" si="4"/>
        <v>86.283999999999992</v>
      </c>
    </row>
    <row r="299" spans="1:7" x14ac:dyDescent="0.2">
      <c r="A299" s="41">
        <v>52916</v>
      </c>
      <c r="B299" s="42">
        <v>4.625</v>
      </c>
      <c r="C299" s="43">
        <v>92.191999999999993</v>
      </c>
      <c r="D299" s="43">
        <v>92.212000000000003</v>
      </c>
      <c r="E299" s="42">
        <v>-8.7999999999999995E-2</v>
      </c>
      <c r="F299" s="42">
        <v>5.2549999999999999</v>
      </c>
      <c r="G299" s="44">
        <f t="shared" si="4"/>
        <v>92.201999999999998</v>
      </c>
    </row>
    <row r="300" spans="1:7" x14ac:dyDescent="0.2">
      <c r="A300" s="45">
        <v>52916</v>
      </c>
      <c r="B300" s="46">
        <v>3</v>
      </c>
      <c r="C300" s="47">
        <v>73.12</v>
      </c>
      <c r="D300" s="47">
        <v>73.14</v>
      </c>
      <c r="E300" s="46">
        <v>-7.5999999999999998E-2</v>
      </c>
      <c r="F300" s="46">
        <v>5.2910000000000004</v>
      </c>
      <c r="G300" s="48">
        <f t="shared" si="4"/>
        <v>73.13</v>
      </c>
    </row>
    <row r="301" spans="1:7" x14ac:dyDescent="0.2">
      <c r="A301" s="41">
        <v>53008</v>
      </c>
      <c r="B301" s="42">
        <v>2.5</v>
      </c>
      <c r="C301" s="43">
        <v>67.054000000000002</v>
      </c>
      <c r="D301" s="43">
        <v>67.073999999999998</v>
      </c>
      <c r="E301" s="42">
        <v>-6.6000000000000003E-2</v>
      </c>
      <c r="F301" s="42">
        <v>5.306</v>
      </c>
      <c r="G301" s="44">
        <f t="shared" si="4"/>
        <v>67.063999999999993</v>
      </c>
    </row>
    <row r="302" spans="1:7" x14ac:dyDescent="0.2">
      <c r="A302" s="45">
        <v>53008</v>
      </c>
      <c r="B302" s="46">
        <v>4.75</v>
      </c>
      <c r="C302" s="47">
        <v>93.305999999999997</v>
      </c>
      <c r="D302" s="47">
        <v>94.006</v>
      </c>
      <c r="E302" s="46">
        <v>-0.78</v>
      </c>
      <c r="F302" s="46">
        <v>5.26</v>
      </c>
      <c r="G302" s="48">
        <f t="shared" si="4"/>
        <v>93.656000000000006</v>
      </c>
    </row>
    <row r="303" spans="1:7" x14ac:dyDescent="0.2">
      <c r="A303" s="41">
        <v>53097</v>
      </c>
      <c r="B303" s="42">
        <v>3</v>
      </c>
      <c r="C303" s="43">
        <v>72.272000000000006</v>
      </c>
      <c r="D303" s="43">
        <v>72.292000000000002</v>
      </c>
      <c r="E303" s="42">
        <v>-0.752</v>
      </c>
      <c r="F303" s="42">
        <v>5.3</v>
      </c>
      <c r="G303" s="44">
        <f t="shared" si="4"/>
        <v>72.282000000000011</v>
      </c>
    </row>
    <row r="304" spans="1:7" x14ac:dyDescent="0.2">
      <c r="A304" s="45">
        <v>53097</v>
      </c>
      <c r="B304" s="46">
        <v>5</v>
      </c>
      <c r="C304" s="47">
        <v>96.266000000000005</v>
      </c>
      <c r="D304" s="47">
        <v>96.286000000000001</v>
      </c>
      <c r="E304" s="46">
        <v>-0.78</v>
      </c>
      <c r="F304" s="46">
        <v>5.2619999999999996</v>
      </c>
      <c r="G304" s="48">
        <f t="shared" si="4"/>
        <v>96.27600000000001</v>
      </c>
    </row>
    <row r="305" spans="1:7" x14ac:dyDescent="0.2">
      <c r="A305" s="41">
        <v>53189</v>
      </c>
      <c r="B305" s="42">
        <v>2.875</v>
      </c>
      <c r="C305" s="43">
        <v>71.013999999999996</v>
      </c>
      <c r="D305" s="43">
        <v>71.034000000000006</v>
      </c>
      <c r="E305" s="42">
        <v>-0.08</v>
      </c>
      <c r="F305" s="42">
        <v>5.3120000000000003</v>
      </c>
      <c r="G305" s="44">
        <f t="shared" si="4"/>
        <v>71.024000000000001</v>
      </c>
    </row>
    <row r="306" spans="1:7" x14ac:dyDescent="0.2">
      <c r="A306" s="45">
        <v>53189</v>
      </c>
      <c r="B306" s="46">
        <v>4.875</v>
      </c>
      <c r="C306" s="47">
        <v>95.08</v>
      </c>
      <c r="D306" s="47">
        <v>95.1</v>
      </c>
      <c r="E306" s="46">
        <v>-0.10199999999999999</v>
      </c>
      <c r="F306" s="46">
        <v>5.2690000000000001</v>
      </c>
      <c r="G306" s="48">
        <f t="shared" si="4"/>
        <v>95.09</v>
      </c>
    </row>
    <row r="307" spans="1:7" x14ac:dyDescent="0.2">
      <c r="A307" s="41">
        <v>53281</v>
      </c>
      <c r="B307" s="42">
        <v>3</v>
      </c>
      <c r="C307" s="43">
        <v>72.103999999999999</v>
      </c>
      <c r="D307" s="43">
        <v>72.123999999999995</v>
      </c>
      <c r="E307" s="42">
        <v>-8.2000000000000003E-2</v>
      </c>
      <c r="F307" s="42">
        <v>5.3109999999999999</v>
      </c>
      <c r="G307" s="44">
        <f t="shared" si="4"/>
        <v>72.114000000000004</v>
      </c>
    </row>
    <row r="308" spans="1:7" x14ac:dyDescent="0.2">
      <c r="A308" s="45">
        <v>53281</v>
      </c>
      <c r="B308" s="46">
        <v>4.625</v>
      </c>
      <c r="C308" s="47">
        <v>92.054000000000002</v>
      </c>
      <c r="D308" s="47">
        <v>92.073999999999998</v>
      </c>
      <c r="E308" s="46">
        <v>-9.6000000000000002E-2</v>
      </c>
      <c r="F308" s="46">
        <v>5.2720000000000002</v>
      </c>
      <c r="G308" s="48">
        <f t="shared" si="4"/>
        <v>92.063999999999993</v>
      </c>
    </row>
    <row r="309" spans="1:7" x14ac:dyDescent="0.2">
      <c r="A309" s="41">
        <v>53373</v>
      </c>
      <c r="B309" s="42">
        <v>4.625</v>
      </c>
      <c r="C309" s="43">
        <v>92.03</v>
      </c>
      <c r="D309" s="43">
        <v>92.05</v>
      </c>
      <c r="E309" s="42">
        <v>-9.0999999999999998E-2</v>
      </c>
      <c r="F309" s="42">
        <v>5.2750000000000004</v>
      </c>
      <c r="G309" s="44">
        <f t="shared" si="4"/>
        <v>92.039999999999992</v>
      </c>
    </row>
    <row r="310" spans="1:7" x14ac:dyDescent="0.2">
      <c r="A310" s="45">
        <v>53373</v>
      </c>
      <c r="B310" s="46">
        <v>2.5</v>
      </c>
      <c r="C310" s="47">
        <v>65.31</v>
      </c>
      <c r="D310" s="47">
        <v>66.010000000000005</v>
      </c>
      <c r="E310" s="46">
        <v>-0.752</v>
      </c>
      <c r="F310" s="46">
        <v>5.3250000000000002</v>
      </c>
      <c r="G310" s="48">
        <f t="shared" si="4"/>
        <v>65.66</v>
      </c>
    </row>
    <row r="311" spans="1:7" x14ac:dyDescent="0.2">
      <c r="A311" s="41">
        <v>53462</v>
      </c>
      <c r="B311" s="42">
        <v>2.5</v>
      </c>
      <c r="C311" s="43">
        <v>65.225999999999999</v>
      </c>
      <c r="D311" s="43">
        <v>65.245999999999995</v>
      </c>
      <c r="E311" s="42">
        <v>-7.3999999999999996E-2</v>
      </c>
      <c r="F311" s="42">
        <v>5.3259999999999996</v>
      </c>
      <c r="G311" s="44">
        <f t="shared" si="4"/>
        <v>65.23599999999999</v>
      </c>
    </row>
    <row r="312" spans="1:7" x14ac:dyDescent="0.2">
      <c r="A312" s="45">
        <v>53462</v>
      </c>
      <c r="B312" s="46">
        <v>5</v>
      </c>
      <c r="C312" s="47">
        <v>96.200999999999993</v>
      </c>
      <c r="D312" s="47">
        <v>96.221000000000004</v>
      </c>
      <c r="E312" s="46">
        <v>-9.6000000000000002E-2</v>
      </c>
      <c r="F312" s="46">
        <v>5.2709999999999999</v>
      </c>
      <c r="G312" s="48">
        <f t="shared" si="4"/>
        <v>96.210999999999999</v>
      </c>
    </row>
    <row r="313" spans="1:7" x14ac:dyDescent="0.2">
      <c r="A313" s="41">
        <v>53554</v>
      </c>
      <c r="B313" s="42">
        <v>2.25</v>
      </c>
      <c r="C313" s="43">
        <v>62.095999999999997</v>
      </c>
      <c r="D313" s="43">
        <v>62.116</v>
      </c>
      <c r="E313" s="42">
        <v>-6.6000000000000003E-2</v>
      </c>
      <c r="F313" s="42">
        <v>5.3390000000000004</v>
      </c>
      <c r="G313" s="44">
        <f t="shared" si="4"/>
        <v>62.105999999999995</v>
      </c>
    </row>
    <row r="314" spans="1:7" x14ac:dyDescent="0.2">
      <c r="A314" s="53">
        <v>53554</v>
      </c>
      <c r="B314" s="54">
        <v>5.125</v>
      </c>
      <c r="C314" s="55">
        <v>98.05</v>
      </c>
      <c r="D314" s="55">
        <v>98.07</v>
      </c>
      <c r="E314" s="54">
        <v>-0.10199999999999999</v>
      </c>
      <c r="F314" s="54">
        <v>5.27</v>
      </c>
      <c r="G314" s="56">
        <f t="shared" si="4"/>
        <v>98.06</v>
      </c>
    </row>
    <row r="315" spans="1:7" x14ac:dyDescent="0.2">
      <c r="A315" s="41">
        <v>53646</v>
      </c>
      <c r="B315" s="42">
        <v>2.875</v>
      </c>
      <c r="C315" s="43">
        <v>69.263999999999996</v>
      </c>
      <c r="D315" s="43">
        <v>69.284000000000006</v>
      </c>
      <c r="E315" s="42">
        <v>-0.75600000000000001</v>
      </c>
      <c r="F315" s="42">
        <v>5.3259999999999996</v>
      </c>
      <c r="G315" s="44">
        <f t="shared" si="4"/>
        <v>69.274000000000001</v>
      </c>
    </row>
    <row r="316" spans="1:7" x14ac:dyDescent="0.2">
      <c r="A316" s="45">
        <v>53738</v>
      </c>
      <c r="B316" s="46">
        <v>3</v>
      </c>
      <c r="C316" s="47">
        <v>71.06</v>
      </c>
      <c r="D316" s="47">
        <v>71.08</v>
      </c>
      <c r="E316" s="46">
        <v>-7.3999999999999996E-2</v>
      </c>
      <c r="F316" s="46">
        <v>5.3239999999999998</v>
      </c>
      <c r="G316" s="48">
        <f t="shared" si="4"/>
        <v>71.069999999999993</v>
      </c>
    </row>
    <row r="317" spans="1:7" x14ac:dyDescent="0.2">
      <c r="A317" s="41">
        <v>53827</v>
      </c>
      <c r="B317" s="42">
        <v>3</v>
      </c>
      <c r="C317" s="43">
        <v>70.313999999999993</v>
      </c>
      <c r="D317" s="43">
        <v>71.013999999999996</v>
      </c>
      <c r="E317" s="42">
        <v>-0.75</v>
      </c>
      <c r="F317" s="42">
        <v>5.3250000000000002</v>
      </c>
      <c r="G317" s="44">
        <f t="shared" si="4"/>
        <v>70.663999999999987</v>
      </c>
    </row>
    <row r="318" spans="1:7" x14ac:dyDescent="0.2">
      <c r="A318" s="45">
        <v>53919</v>
      </c>
      <c r="B318" s="46">
        <v>2.75</v>
      </c>
      <c r="C318" s="47">
        <v>67.176000000000002</v>
      </c>
      <c r="D318" s="47">
        <v>67.195999999999998</v>
      </c>
      <c r="E318" s="46">
        <v>-7.3999999999999996E-2</v>
      </c>
      <c r="F318" s="46">
        <v>5.3360000000000003</v>
      </c>
      <c r="G318" s="48">
        <f t="shared" si="4"/>
        <v>67.186000000000007</v>
      </c>
    </row>
    <row r="319" spans="1:7" x14ac:dyDescent="0.2">
      <c r="A319" s="41">
        <v>54011</v>
      </c>
      <c r="B319" s="42">
        <v>2.75</v>
      </c>
      <c r="C319" s="43">
        <v>67.102000000000004</v>
      </c>
      <c r="D319" s="43">
        <v>67.122</v>
      </c>
      <c r="E319" s="42">
        <v>-7.1999999999999995E-2</v>
      </c>
      <c r="F319" s="42">
        <v>5.3380000000000001</v>
      </c>
      <c r="G319" s="44">
        <f t="shared" si="4"/>
        <v>67.111999999999995</v>
      </c>
    </row>
    <row r="320" spans="1:7" x14ac:dyDescent="0.2">
      <c r="A320" s="45">
        <v>54103</v>
      </c>
      <c r="B320" s="46">
        <v>3</v>
      </c>
      <c r="C320" s="47">
        <v>70.085999999999999</v>
      </c>
      <c r="D320" s="47">
        <v>70.105999999999995</v>
      </c>
      <c r="E320" s="46">
        <v>-7.8E-2</v>
      </c>
      <c r="F320" s="46">
        <v>5.3390000000000004</v>
      </c>
      <c r="G320" s="48">
        <f t="shared" si="4"/>
        <v>70.096000000000004</v>
      </c>
    </row>
    <row r="321" spans="1:7" x14ac:dyDescent="0.2">
      <c r="A321" s="41">
        <v>54193</v>
      </c>
      <c r="B321" s="42">
        <v>3.125</v>
      </c>
      <c r="C321" s="43">
        <v>71.225999999999999</v>
      </c>
      <c r="D321" s="43">
        <v>71.245999999999995</v>
      </c>
      <c r="E321" s="42">
        <v>-8.5999999999999993E-2</v>
      </c>
      <c r="F321" s="42">
        <v>5.3360000000000003</v>
      </c>
      <c r="G321" s="44">
        <f t="shared" si="4"/>
        <v>71.23599999999999</v>
      </c>
    </row>
    <row r="322" spans="1:7" x14ac:dyDescent="0.2">
      <c r="A322" s="45">
        <v>54285</v>
      </c>
      <c r="B322" s="46">
        <v>3</v>
      </c>
      <c r="C322" s="47">
        <v>69.286000000000001</v>
      </c>
      <c r="D322" s="47">
        <v>69.305999999999997</v>
      </c>
      <c r="E322" s="46">
        <v>-0.75600000000000001</v>
      </c>
      <c r="F322" s="46">
        <v>5.34</v>
      </c>
      <c r="G322" s="48">
        <f t="shared" si="4"/>
        <v>69.295999999999992</v>
      </c>
    </row>
    <row r="323" spans="1:7" x14ac:dyDescent="0.2">
      <c r="A323" s="41">
        <v>54377</v>
      </c>
      <c r="B323" s="42">
        <v>3.375</v>
      </c>
      <c r="C323" s="43">
        <v>74.209999999999994</v>
      </c>
      <c r="D323" s="43">
        <v>74.23</v>
      </c>
      <c r="E323" s="42">
        <v>-7.5999999999999998E-2</v>
      </c>
      <c r="F323" s="42">
        <v>5.3310000000000004</v>
      </c>
      <c r="G323" s="44">
        <f t="shared" si="4"/>
        <v>74.22</v>
      </c>
    </row>
    <row r="324" spans="1:7" x14ac:dyDescent="0.2">
      <c r="A324" s="45">
        <v>54469</v>
      </c>
      <c r="B324" s="46">
        <v>3</v>
      </c>
      <c r="C324" s="47">
        <v>69.162000000000006</v>
      </c>
      <c r="D324" s="47">
        <v>69.182000000000002</v>
      </c>
      <c r="E324" s="46">
        <v>-8.2000000000000003E-2</v>
      </c>
      <c r="F324" s="46">
        <v>5.343</v>
      </c>
      <c r="G324" s="48">
        <f t="shared" ref="G324:G354" si="5">AVERAGE(C324,D324)</f>
        <v>69.171999999999997</v>
      </c>
    </row>
    <row r="325" spans="1:7" x14ac:dyDescent="0.2">
      <c r="A325" s="41">
        <v>54558</v>
      </c>
      <c r="B325" s="42">
        <v>2.875</v>
      </c>
      <c r="C325" s="43">
        <v>67.221999999999994</v>
      </c>
      <c r="D325" s="43">
        <v>67.242000000000004</v>
      </c>
      <c r="E325" s="42">
        <v>-7.1999999999999995E-2</v>
      </c>
      <c r="F325" s="42">
        <v>5.343</v>
      </c>
      <c r="G325" s="44">
        <f t="shared" si="5"/>
        <v>67.231999999999999</v>
      </c>
    </row>
    <row r="326" spans="1:7" x14ac:dyDescent="0.2">
      <c r="A326" s="45">
        <v>54650</v>
      </c>
      <c r="B326" s="46">
        <v>2.25</v>
      </c>
      <c r="C326" s="47">
        <v>59.043999999999997</v>
      </c>
      <c r="D326" s="47">
        <v>59.064</v>
      </c>
      <c r="E326" s="46">
        <v>-6.8000000000000005E-2</v>
      </c>
      <c r="F326" s="46">
        <v>5.3609999999999998</v>
      </c>
      <c r="G326" s="48">
        <f t="shared" si="5"/>
        <v>59.054000000000002</v>
      </c>
    </row>
    <row r="327" spans="1:7" x14ac:dyDescent="0.2">
      <c r="A327" s="41">
        <v>54742</v>
      </c>
      <c r="B327" s="42">
        <v>2.375</v>
      </c>
      <c r="C327" s="43">
        <v>60.19</v>
      </c>
      <c r="D327" s="43">
        <v>60.21</v>
      </c>
      <c r="E327" s="42">
        <v>-6.4000000000000001E-2</v>
      </c>
      <c r="F327" s="42">
        <v>5.3570000000000002</v>
      </c>
      <c r="G327" s="44">
        <f t="shared" si="5"/>
        <v>60.2</v>
      </c>
    </row>
    <row r="328" spans="1:7" x14ac:dyDescent="0.2">
      <c r="A328" s="45">
        <v>54834</v>
      </c>
      <c r="B328" s="46">
        <v>2</v>
      </c>
      <c r="C328" s="47">
        <v>55.11</v>
      </c>
      <c r="D328" s="47">
        <v>55.13</v>
      </c>
      <c r="E328" s="46">
        <v>-6.2E-2</v>
      </c>
      <c r="F328" s="46">
        <v>5.3639999999999999</v>
      </c>
      <c r="G328" s="48">
        <f t="shared" si="5"/>
        <v>55.120000000000005</v>
      </c>
    </row>
    <row r="329" spans="1:7" x14ac:dyDescent="0.2">
      <c r="A329" s="41">
        <v>54923</v>
      </c>
      <c r="B329" s="42">
        <v>1.25</v>
      </c>
      <c r="C329" s="43">
        <v>45.03</v>
      </c>
      <c r="D329" s="43">
        <v>45.05</v>
      </c>
      <c r="E329" s="42">
        <v>-5.1999999999999998E-2</v>
      </c>
      <c r="F329" s="42">
        <v>5.3659999999999997</v>
      </c>
      <c r="G329" s="44">
        <f t="shared" si="5"/>
        <v>45.04</v>
      </c>
    </row>
    <row r="330" spans="1:7" x14ac:dyDescent="0.2">
      <c r="A330" s="45">
        <v>55015</v>
      </c>
      <c r="B330" s="46">
        <v>1.375</v>
      </c>
      <c r="C330" s="47">
        <v>46.131999999999998</v>
      </c>
      <c r="D330" s="47">
        <v>46.152000000000001</v>
      </c>
      <c r="E330" s="46">
        <v>-5.8000000000000003E-2</v>
      </c>
      <c r="F330" s="46">
        <v>5.3739999999999997</v>
      </c>
      <c r="G330" s="48">
        <f t="shared" si="5"/>
        <v>46.141999999999996</v>
      </c>
    </row>
    <row r="331" spans="1:7" x14ac:dyDescent="0.2">
      <c r="A331" s="41">
        <v>55107</v>
      </c>
      <c r="B331" s="42">
        <v>1.625</v>
      </c>
      <c r="C331" s="43">
        <v>49.165999999999997</v>
      </c>
      <c r="D331" s="43">
        <v>49.186</v>
      </c>
      <c r="E331" s="42">
        <v>-5.8000000000000003E-2</v>
      </c>
      <c r="F331" s="42">
        <v>5.3719999999999999</v>
      </c>
      <c r="G331" s="44">
        <f t="shared" si="5"/>
        <v>49.176000000000002</v>
      </c>
    </row>
    <row r="332" spans="1:7" x14ac:dyDescent="0.2">
      <c r="A332" s="45">
        <v>55199</v>
      </c>
      <c r="B332" s="46">
        <v>1.875</v>
      </c>
      <c r="C332" s="47">
        <v>52.212000000000003</v>
      </c>
      <c r="D332" s="47">
        <v>52.231999999999999</v>
      </c>
      <c r="E332" s="46">
        <v>-6.8000000000000005E-2</v>
      </c>
      <c r="F332" s="46">
        <v>5.37</v>
      </c>
      <c r="G332" s="48">
        <f t="shared" si="5"/>
        <v>52.222000000000001</v>
      </c>
    </row>
    <row r="333" spans="1:7" x14ac:dyDescent="0.2">
      <c r="A333" s="41">
        <v>55288</v>
      </c>
      <c r="B333" s="42">
        <v>2.375</v>
      </c>
      <c r="C333" s="43">
        <v>59.106000000000002</v>
      </c>
      <c r="D333" s="43">
        <v>59.125999999999998</v>
      </c>
      <c r="E333" s="42">
        <v>-7.3999999999999996E-2</v>
      </c>
      <c r="F333" s="42">
        <v>5.359</v>
      </c>
      <c r="G333" s="44">
        <f t="shared" si="5"/>
        <v>59.116</v>
      </c>
    </row>
    <row r="334" spans="1:7" x14ac:dyDescent="0.2">
      <c r="A334" s="45">
        <v>55380</v>
      </c>
      <c r="B334" s="46">
        <v>2</v>
      </c>
      <c r="C334" s="47">
        <v>53.305999999999997</v>
      </c>
      <c r="D334" s="47">
        <v>54.006</v>
      </c>
      <c r="E334" s="46">
        <v>-0.74</v>
      </c>
      <c r="F334" s="46">
        <v>5.3639999999999999</v>
      </c>
      <c r="G334" s="48">
        <f t="shared" si="5"/>
        <v>53.655999999999999</v>
      </c>
    </row>
    <row r="335" spans="1:7" x14ac:dyDescent="0.2">
      <c r="A335" s="41">
        <v>55472</v>
      </c>
      <c r="B335" s="42">
        <v>1.875</v>
      </c>
      <c r="C335" s="43">
        <v>52.003999999999998</v>
      </c>
      <c r="D335" s="43">
        <v>52.024000000000001</v>
      </c>
      <c r="E335" s="42">
        <v>-5.1999999999999998E-2</v>
      </c>
      <c r="F335" s="42">
        <v>5.3650000000000002</v>
      </c>
      <c r="G335" s="44">
        <f t="shared" si="5"/>
        <v>52.013999999999996</v>
      </c>
    </row>
    <row r="336" spans="1:7" x14ac:dyDescent="0.2">
      <c r="A336" s="45">
        <v>55564</v>
      </c>
      <c r="B336" s="46">
        <v>2.25</v>
      </c>
      <c r="C336" s="47">
        <v>57.015999999999998</v>
      </c>
      <c r="D336" s="47">
        <v>57.036000000000001</v>
      </c>
      <c r="E336" s="46">
        <v>-6.4000000000000001E-2</v>
      </c>
      <c r="F336" s="46">
        <v>5.3559999999999999</v>
      </c>
      <c r="G336" s="48">
        <f t="shared" si="5"/>
        <v>57.025999999999996</v>
      </c>
    </row>
    <row r="337" spans="1:7" x14ac:dyDescent="0.2">
      <c r="A337" s="41">
        <v>55654</v>
      </c>
      <c r="B337" s="42">
        <v>2.875</v>
      </c>
      <c r="C337" s="43">
        <v>65.221999999999994</v>
      </c>
      <c r="D337" s="43">
        <v>65.242000000000004</v>
      </c>
      <c r="E337" s="42">
        <v>-7.0000000000000007E-2</v>
      </c>
      <c r="F337" s="42">
        <v>5.3390000000000004</v>
      </c>
      <c r="G337" s="44">
        <f t="shared" si="5"/>
        <v>65.231999999999999</v>
      </c>
    </row>
    <row r="338" spans="1:7" x14ac:dyDescent="0.2">
      <c r="A338" s="45">
        <v>55746</v>
      </c>
      <c r="B338" s="46">
        <v>3</v>
      </c>
      <c r="C338" s="47">
        <v>67.099999999999994</v>
      </c>
      <c r="D338" s="47">
        <v>67.12</v>
      </c>
      <c r="E338" s="46">
        <v>-7.0000000000000007E-2</v>
      </c>
      <c r="F338" s="46">
        <v>5.3369999999999997</v>
      </c>
      <c r="G338" s="48">
        <f t="shared" si="5"/>
        <v>67.11</v>
      </c>
    </row>
    <row r="339" spans="1:7" x14ac:dyDescent="0.2">
      <c r="A339" s="41">
        <v>55838</v>
      </c>
      <c r="B339" s="42">
        <v>4</v>
      </c>
      <c r="C339" s="43">
        <v>81.126000000000005</v>
      </c>
      <c r="D339" s="43">
        <v>81.146000000000001</v>
      </c>
      <c r="E339" s="42">
        <v>-7.8E-2</v>
      </c>
      <c r="F339" s="42">
        <v>5.319</v>
      </c>
      <c r="G339" s="44">
        <f t="shared" si="5"/>
        <v>81.135999999999996</v>
      </c>
    </row>
    <row r="340" spans="1:7" x14ac:dyDescent="0.2">
      <c r="A340" s="45">
        <v>55930</v>
      </c>
      <c r="B340" s="46">
        <v>3.625</v>
      </c>
      <c r="C340" s="47">
        <v>75.311999999999998</v>
      </c>
      <c r="D340" s="47">
        <v>76.012</v>
      </c>
      <c r="E340" s="46">
        <v>-0.76800000000000002</v>
      </c>
      <c r="F340" s="46">
        <v>5.3239999999999998</v>
      </c>
      <c r="G340" s="48">
        <f t="shared" si="5"/>
        <v>75.662000000000006</v>
      </c>
    </row>
    <row r="341" spans="1:7" x14ac:dyDescent="0.2">
      <c r="A341" s="41">
        <v>56019</v>
      </c>
      <c r="B341" s="42">
        <v>3.625</v>
      </c>
      <c r="C341" s="43">
        <v>75.290000000000006</v>
      </c>
      <c r="D341" s="43">
        <v>75.31</v>
      </c>
      <c r="E341" s="42">
        <v>-0.76200000000000001</v>
      </c>
      <c r="F341" s="42">
        <v>5.3209999999999997</v>
      </c>
      <c r="G341" s="44">
        <f t="shared" si="5"/>
        <v>75.300000000000011</v>
      </c>
    </row>
    <row r="342" spans="1:7" x14ac:dyDescent="0.2">
      <c r="A342" s="45">
        <v>56111</v>
      </c>
      <c r="B342" s="46">
        <v>4.125</v>
      </c>
      <c r="C342" s="47">
        <v>83.022000000000006</v>
      </c>
      <c r="D342" s="47">
        <v>83.042000000000002</v>
      </c>
      <c r="E342" s="46">
        <v>-8.2000000000000003E-2</v>
      </c>
      <c r="F342" s="46">
        <v>5.3090000000000002</v>
      </c>
      <c r="G342" s="48">
        <f t="shared" si="5"/>
        <v>83.032000000000011</v>
      </c>
    </row>
    <row r="343" spans="1:7" x14ac:dyDescent="0.2">
      <c r="A343" s="41">
        <v>56203</v>
      </c>
      <c r="B343" s="42">
        <v>4.75</v>
      </c>
      <c r="C343" s="43">
        <v>92.012</v>
      </c>
      <c r="D343" s="43">
        <v>92.031999999999996</v>
      </c>
      <c r="E343" s="42">
        <v>-9.4E-2</v>
      </c>
      <c r="F343" s="42">
        <v>5.3010000000000002</v>
      </c>
      <c r="G343" s="44">
        <f t="shared" si="5"/>
        <v>92.021999999999991</v>
      </c>
    </row>
    <row r="344" spans="1:7" x14ac:dyDescent="0.2">
      <c r="A344" s="45">
        <v>56295</v>
      </c>
      <c r="B344" s="46">
        <v>4.25</v>
      </c>
      <c r="C344" s="47">
        <v>84.244</v>
      </c>
      <c r="D344" s="47">
        <v>84.263999999999996</v>
      </c>
      <c r="E344" s="46">
        <v>-0.77600000000000002</v>
      </c>
      <c r="F344" s="46">
        <v>5.306</v>
      </c>
      <c r="G344" s="48">
        <f t="shared" si="5"/>
        <v>84.253999999999991</v>
      </c>
    </row>
    <row r="345" spans="1:7" x14ac:dyDescent="0.2">
      <c r="A345" s="41">
        <v>56384</v>
      </c>
      <c r="B345" s="42">
        <v>4.625</v>
      </c>
      <c r="C345" s="43">
        <v>90.085999999999999</v>
      </c>
      <c r="D345" s="43">
        <v>90.105999999999995</v>
      </c>
      <c r="E345" s="42">
        <v>-9.4E-2</v>
      </c>
      <c r="F345" s="42">
        <v>5.2930000000000001</v>
      </c>
      <c r="G345" s="44">
        <f t="shared" si="5"/>
        <v>90.096000000000004</v>
      </c>
    </row>
    <row r="346" spans="1:7" x14ac:dyDescent="0.2">
      <c r="A346" s="45">
        <v>56476</v>
      </c>
      <c r="B346" s="46">
        <v>4.25</v>
      </c>
      <c r="C346" s="47">
        <v>84.244</v>
      </c>
      <c r="D346" s="47">
        <v>84.263999999999996</v>
      </c>
      <c r="E346" s="46">
        <v>-0.77200000000000002</v>
      </c>
      <c r="F346" s="46">
        <v>5.2960000000000003</v>
      </c>
      <c r="G346" s="48">
        <f t="shared" si="5"/>
        <v>84.253999999999991</v>
      </c>
    </row>
    <row r="347" spans="1:7" x14ac:dyDescent="0.2">
      <c r="A347" s="41">
        <v>56568</v>
      </c>
      <c r="B347" s="42">
        <v>4.5</v>
      </c>
      <c r="C347" s="43">
        <v>88.123999999999995</v>
      </c>
      <c r="D347" s="43">
        <v>88.144000000000005</v>
      </c>
      <c r="E347" s="42">
        <v>-9.6000000000000002E-2</v>
      </c>
      <c r="F347" s="42">
        <v>5.2919999999999998</v>
      </c>
      <c r="G347" s="44">
        <f t="shared" si="5"/>
        <v>88.134</v>
      </c>
    </row>
    <row r="348" spans="1:7" x14ac:dyDescent="0.2">
      <c r="A348" s="45">
        <v>56660</v>
      </c>
      <c r="B348" s="46">
        <v>4.625</v>
      </c>
      <c r="C348" s="47">
        <v>90.072000000000003</v>
      </c>
      <c r="D348" s="47">
        <v>90.091999999999999</v>
      </c>
      <c r="E348" s="46">
        <v>-0.10199999999999999</v>
      </c>
      <c r="F348" s="46">
        <v>5.2889999999999997</v>
      </c>
      <c r="G348" s="48">
        <f t="shared" si="5"/>
        <v>90.081999999999994</v>
      </c>
    </row>
    <row r="349" spans="1:7" x14ac:dyDescent="0.2">
      <c r="A349" s="41">
        <v>56749</v>
      </c>
      <c r="B349" s="42">
        <v>4.75</v>
      </c>
      <c r="C349" s="43">
        <v>92.024000000000001</v>
      </c>
      <c r="D349" s="43">
        <v>92.043999999999997</v>
      </c>
      <c r="E349" s="42">
        <v>-0.1</v>
      </c>
      <c r="F349" s="42">
        <v>5.2850000000000001</v>
      </c>
      <c r="G349" s="44">
        <f t="shared" si="5"/>
        <v>92.033999999999992</v>
      </c>
    </row>
    <row r="350" spans="1:7" x14ac:dyDescent="0.2">
      <c r="A350" s="45">
        <v>56841</v>
      </c>
      <c r="B350" s="46">
        <v>4.75</v>
      </c>
      <c r="C350" s="47">
        <v>92.025999999999996</v>
      </c>
      <c r="D350" s="47">
        <v>92.046000000000006</v>
      </c>
      <c r="E350" s="46">
        <v>-9.6000000000000002E-2</v>
      </c>
      <c r="F350" s="46">
        <v>5.282</v>
      </c>
      <c r="G350" s="48">
        <f t="shared" si="5"/>
        <v>92.036000000000001</v>
      </c>
    </row>
    <row r="351" spans="1:7" x14ac:dyDescent="0.2">
      <c r="A351" s="41">
        <v>56933</v>
      </c>
      <c r="B351" s="42">
        <v>4.625</v>
      </c>
      <c r="C351" s="43">
        <v>90.081999999999994</v>
      </c>
      <c r="D351" s="43">
        <v>90.102000000000004</v>
      </c>
      <c r="E351" s="42">
        <v>-9.1999999999999998E-2</v>
      </c>
      <c r="F351" s="42">
        <v>5.2779999999999996</v>
      </c>
      <c r="G351" s="44">
        <f t="shared" si="5"/>
        <v>90.091999999999999</v>
      </c>
    </row>
    <row r="352" spans="1:7" x14ac:dyDescent="0.2">
      <c r="A352" s="45">
        <v>57025</v>
      </c>
      <c r="B352" s="46">
        <v>4.75</v>
      </c>
      <c r="C352" s="47">
        <v>92.043999999999997</v>
      </c>
      <c r="D352" s="47">
        <v>92.063999999999993</v>
      </c>
      <c r="E352" s="46">
        <v>-0.10100000000000001</v>
      </c>
      <c r="F352" s="46">
        <v>5.274</v>
      </c>
      <c r="G352" s="48">
        <f t="shared" si="5"/>
        <v>92.054000000000002</v>
      </c>
    </row>
    <row r="353" spans="1:7" x14ac:dyDescent="0.2">
      <c r="A353" s="41">
        <v>57115</v>
      </c>
      <c r="B353" s="42">
        <v>5</v>
      </c>
      <c r="C353" s="43">
        <v>95.293000000000006</v>
      </c>
      <c r="D353" s="43">
        <v>95.313000000000002</v>
      </c>
      <c r="E353" s="42">
        <v>-0.78300000000000003</v>
      </c>
      <c r="F353" s="42">
        <v>5.2690000000000001</v>
      </c>
      <c r="G353" s="44">
        <f t="shared" si="5"/>
        <v>95.302999999999997</v>
      </c>
    </row>
    <row r="354" spans="1:7" x14ac:dyDescent="0.2">
      <c r="A354" s="53">
        <v>57207</v>
      </c>
      <c r="B354" s="54">
        <v>5.125</v>
      </c>
      <c r="C354" s="55">
        <v>97.26</v>
      </c>
      <c r="D354" s="55">
        <v>97.28</v>
      </c>
      <c r="E354" s="54">
        <v>-0.78200000000000003</v>
      </c>
      <c r="F354" s="54">
        <v>5.2670000000000003</v>
      </c>
      <c r="G354" s="56">
        <f t="shared" si="5"/>
        <v>97.27000000000001</v>
      </c>
    </row>
  </sheetData>
  <mergeCells count="1">
    <mergeCell ref="A1:G1"/>
  </mergeCells>
  <conditionalFormatting sqref="E3:E354">
    <cfRule type="cellIs" dxfId="5" priority="1" operator="equal">
      <formula>0</formula>
    </cfRule>
    <cfRule type="cellIs" dxfId="4" priority="2" operator="equal">
      <formula>0</formula>
    </cfRule>
    <cfRule type="cellIs" dxfId="3" priority="3" operator="equal">
      <formula>0</formula>
    </cfRule>
    <cfRule type="cellIs" dxfId="2" priority="4" operator="equal">
      <formula>0</formula>
    </cfRule>
    <cfRule type="cellIs" dxfId="1" priority="5" operator="lessThan">
      <formula>0</formula>
    </cfRule>
    <cfRule type="cellIs" dxfId="0" priority="6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AEC9-42DC-4BF5-A5C1-E44DFF22E12B}">
  <dimension ref="A1:I52"/>
  <sheetViews>
    <sheetView workbookViewId="0">
      <selection activeCell="H2" sqref="H2"/>
    </sheetView>
  </sheetViews>
  <sheetFormatPr baseColWidth="10" defaultColWidth="8.83203125" defaultRowHeight="15" x14ac:dyDescent="0.2"/>
  <cols>
    <col min="1" max="1" width="20" customWidth="1"/>
    <col min="2" max="3" width="12" customWidth="1"/>
    <col min="4" max="4" width="15" customWidth="1"/>
    <col min="5" max="5" width="16.1640625" bestFit="1" customWidth="1"/>
    <col min="6" max="6" width="13.5" bestFit="1" customWidth="1"/>
    <col min="8" max="8" width="19.5" bestFit="1" customWidth="1"/>
    <col min="9" max="9" width="11.5" bestFit="1" customWidth="1"/>
  </cols>
  <sheetData>
    <row r="1" spans="1:9" ht="30" customHeight="1" x14ac:dyDescent="0.2">
      <c r="A1" s="58" t="s">
        <v>18</v>
      </c>
      <c r="B1" s="58"/>
      <c r="C1" s="58"/>
      <c r="D1" s="58"/>
      <c r="E1" s="58"/>
      <c r="F1" s="58"/>
    </row>
    <row r="2" spans="1:9" ht="16" x14ac:dyDescent="0.2">
      <c r="A2" s="39" t="s">
        <v>19</v>
      </c>
      <c r="B2" s="39" t="s">
        <v>20</v>
      </c>
      <c r="C2" s="39" t="s">
        <v>21</v>
      </c>
      <c r="D2" s="39" t="s">
        <v>22</v>
      </c>
      <c r="E2" s="39" t="s">
        <v>23</v>
      </c>
      <c r="F2" s="39" t="s">
        <v>24</v>
      </c>
      <c r="H2" s="39" t="s">
        <v>25</v>
      </c>
      <c r="I2" s="12">
        <v>46267</v>
      </c>
    </row>
    <row r="3" spans="1:9" x14ac:dyDescent="0.2">
      <c r="A3" s="13">
        <v>46268</v>
      </c>
      <c r="B3" s="14">
        <v>3.605</v>
      </c>
      <c r="C3" s="14">
        <v>3.5950000000000002</v>
      </c>
      <c r="D3" s="15">
        <v>0</v>
      </c>
      <c r="E3" s="14">
        <f t="shared" ref="E3:E52" si="0">AVERAGE(C3,B3)</f>
        <v>3.6</v>
      </c>
      <c r="F3" s="16">
        <f t="shared" ref="F3:F52" si="1">PRICEDISC($I$2, A3, E3/100, 100, 2)</f>
        <v>99.99</v>
      </c>
    </row>
    <row r="4" spans="1:9" x14ac:dyDescent="0.2">
      <c r="A4" s="17">
        <v>46273</v>
      </c>
      <c r="B4" s="18">
        <v>3.62</v>
      </c>
      <c r="C4" s="18">
        <v>3.61</v>
      </c>
      <c r="D4" s="19">
        <v>0</v>
      </c>
      <c r="E4" s="18">
        <f t="shared" si="0"/>
        <v>3.6150000000000002</v>
      </c>
      <c r="F4" s="20">
        <f t="shared" si="1"/>
        <v>99.939750000000004</v>
      </c>
    </row>
    <row r="5" spans="1:9" x14ac:dyDescent="0.2">
      <c r="A5" s="21">
        <v>46275</v>
      </c>
      <c r="B5" s="22">
        <v>3.62</v>
      </c>
      <c r="C5" s="22">
        <v>3.61</v>
      </c>
      <c r="D5" s="23">
        <v>-5.0000000000000001E-3</v>
      </c>
      <c r="E5" s="22">
        <f t="shared" si="0"/>
        <v>3.6150000000000002</v>
      </c>
      <c r="F5" s="24">
        <f t="shared" si="1"/>
        <v>99.919666666666672</v>
      </c>
    </row>
    <row r="6" spans="1:9" x14ac:dyDescent="0.2">
      <c r="A6" s="17">
        <v>46280</v>
      </c>
      <c r="B6" s="18">
        <v>3.6150000000000002</v>
      </c>
      <c r="C6" s="18">
        <v>3.605</v>
      </c>
      <c r="D6" s="25">
        <v>5.0000000000000001E-3</v>
      </c>
      <c r="E6" s="18">
        <f t="shared" si="0"/>
        <v>3.6100000000000003</v>
      </c>
      <c r="F6" s="20">
        <f t="shared" si="1"/>
        <v>99.869638888888886</v>
      </c>
    </row>
    <row r="7" spans="1:9" x14ac:dyDescent="0.2">
      <c r="A7" s="21">
        <v>46282</v>
      </c>
      <c r="B7" s="22">
        <v>3.62</v>
      </c>
      <c r="C7" s="22">
        <v>3.61</v>
      </c>
      <c r="D7" s="23">
        <v>-5.0000000000000001E-3</v>
      </c>
      <c r="E7" s="22">
        <f t="shared" si="0"/>
        <v>3.6150000000000002</v>
      </c>
      <c r="F7" s="24">
        <f t="shared" si="1"/>
        <v>99.849374999999995</v>
      </c>
    </row>
    <row r="8" spans="1:9" x14ac:dyDescent="0.2">
      <c r="A8" s="17">
        <v>46287</v>
      </c>
      <c r="B8" s="18">
        <v>3.66</v>
      </c>
      <c r="C8" s="18">
        <v>3.65</v>
      </c>
      <c r="D8" s="25">
        <v>1.4999999999999999E-2</v>
      </c>
      <c r="E8" s="18">
        <f t="shared" si="0"/>
        <v>3.6550000000000002</v>
      </c>
      <c r="F8" s="20">
        <f t="shared" si="1"/>
        <v>99.796944444444449</v>
      </c>
    </row>
    <row r="9" spans="1:9" x14ac:dyDescent="0.2">
      <c r="A9" s="21">
        <v>46289</v>
      </c>
      <c r="B9" s="22">
        <v>3.66</v>
      </c>
      <c r="C9" s="22">
        <v>3.65</v>
      </c>
      <c r="D9" s="26">
        <v>1.4999999999999999E-2</v>
      </c>
      <c r="E9" s="22">
        <f t="shared" si="0"/>
        <v>3.6550000000000002</v>
      </c>
      <c r="F9" s="24">
        <f t="shared" si="1"/>
        <v>99.776638888888883</v>
      </c>
    </row>
    <row r="10" spans="1:9" x14ac:dyDescent="0.2">
      <c r="A10" s="17">
        <v>46294</v>
      </c>
      <c r="B10" s="18">
        <v>3.6949999999999998</v>
      </c>
      <c r="C10" s="18">
        <v>3.6850000000000001</v>
      </c>
      <c r="D10" s="25">
        <v>5.0000000000000001E-3</v>
      </c>
      <c r="E10" s="18">
        <f t="shared" si="0"/>
        <v>3.69</v>
      </c>
      <c r="F10" s="20">
        <f t="shared" si="1"/>
        <v>99.723249999999993</v>
      </c>
    </row>
    <row r="11" spans="1:9" x14ac:dyDescent="0.2">
      <c r="A11" s="27">
        <v>46296</v>
      </c>
      <c r="B11" s="28">
        <v>3.69</v>
      </c>
      <c r="C11" s="28">
        <v>3.68</v>
      </c>
      <c r="D11" s="29">
        <v>0.01</v>
      </c>
      <c r="E11" s="28">
        <f t="shared" si="0"/>
        <v>3.6850000000000001</v>
      </c>
      <c r="F11" s="30">
        <f t="shared" si="1"/>
        <v>99.703152777777774</v>
      </c>
    </row>
    <row r="12" spans="1:9" x14ac:dyDescent="0.2">
      <c r="A12" s="17">
        <v>46301</v>
      </c>
      <c r="B12" s="18">
        <v>3.71</v>
      </c>
      <c r="C12" s="18">
        <v>3.7</v>
      </c>
      <c r="D12" s="25">
        <v>0.02</v>
      </c>
      <c r="E12" s="18">
        <f t="shared" si="0"/>
        <v>3.7050000000000001</v>
      </c>
      <c r="F12" s="20">
        <f t="shared" si="1"/>
        <v>99.650083333333328</v>
      </c>
    </row>
    <row r="13" spans="1:9" x14ac:dyDescent="0.2">
      <c r="A13" s="21">
        <v>46303</v>
      </c>
      <c r="B13" s="22">
        <v>3.7250000000000001</v>
      </c>
      <c r="C13" s="22">
        <v>3.7149999999999999</v>
      </c>
      <c r="D13" s="26">
        <v>0.01</v>
      </c>
      <c r="E13" s="22">
        <f t="shared" si="0"/>
        <v>3.7199999999999998</v>
      </c>
      <c r="F13" s="24">
        <f t="shared" si="1"/>
        <v>99.628</v>
      </c>
    </row>
    <row r="14" spans="1:9" x14ac:dyDescent="0.2">
      <c r="A14" s="17">
        <v>46308</v>
      </c>
      <c r="B14" s="18">
        <v>3.7250000000000001</v>
      </c>
      <c r="C14" s="18">
        <v>3.7149999999999999</v>
      </c>
      <c r="D14" s="25">
        <v>0.03</v>
      </c>
      <c r="E14" s="18">
        <f t="shared" si="0"/>
        <v>3.7199999999999998</v>
      </c>
      <c r="F14" s="20">
        <f t="shared" si="1"/>
        <v>99.576333333333338</v>
      </c>
    </row>
    <row r="15" spans="1:9" x14ac:dyDescent="0.2">
      <c r="A15" s="21">
        <v>46310</v>
      </c>
      <c r="B15" s="22">
        <v>3.7349999999999999</v>
      </c>
      <c r="C15" s="22">
        <v>3.7250000000000001</v>
      </c>
      <c r="D15" s="26">
        <v>0.02</v>
      </c>
      <c r="E15" s="22">
        <f t="shared" si="0"/>
        <v>3.73</v>
      </c>
      <c r="F15" s="24">
        <f t="shared" si="1"/>
        <v>99.554472222222216</v>
      </c>
    </row>
    <row r="16" spans="1:9" x14ac:dyDescent="0.2">
      <c r="A16" s="17">
        <v>46315</v>
      </c>
      <c r="B16" s="18">
        <v>3.7450000000000001</v>
      </c>
      <c r="C16" s="18">
        <v>3.7349999999999999</v>
      </c>
      <c r="D16" s="25">
        <v>2.5000000000000001E-2</v>
      </c>
      <c r="E16" s="18">
        <f t="shared" si="0"/>
        <v>3.74</v>
      </c>
      <c r="F16" s="20">
        <f t="shared" si="1"/>
        <v>99.501333333333335</v>
      </c>
    </row>
    <row r="17" spans="1:6" x14ac:dyDescent="0.2">
      <c r="A17" s="21">
        <v>46317</v>
      </c>
      <c r="B17" s="22">
        <v>3.74</v>
      </c>
      <c r="C17" s="22">
        <v>3.73</v>
      </c>
      <c r="D17" s="26">
        <v>1.4999999999999999E-2</v>
      </c>
      <c r="E17" s="22">
        <f t="shared" si="0"/>
        <v>3.7350000000000003</v>
      </c>
      <c r="F17" s="24">
        <f t="shared" si="1"/>
        <v>99.481250000000003</v>
      </c>
    </row>
    <row r="18" spans="1:6" x14ac:dyDescent="0.2">
      <c r="A18" s="17">
        <v>46322</v>
      </c>
      <c r="B18" s="18">
        <v>3.75</v>
      </c>
      <c r="C18" s="18">
        <v>3.74</v>
      </c>
      <c r="D18" s="25">
        <v>0.01</v>
      </c>
      <c r="E18" s="18">
        <f t="shared" si="0"/>
        <v>3.7450000000000001</v>
      </c>
      <c r="F18" s="20">
        <f t="shared" si="1"/>
        <v>99.427847222222226</v>
      </c>
    </row>
    <row r="19" spans="1:6" x14ac:dyDescent="0.2">
      <c r="A19" s="21">
        <v>46324</v>
      </c>
      <c r="B19" s="22">
        <v>3.7450000000000001</v>
      </c>
      <c r="C19" s="22">
        <v>3.7349999999999999</v>
      </c>
      <c r="D19" s="31">
        <v>0</v>
      </c>
      <c r="E19" s="22">
        <f t="shared" si="0"/>
        <v>3.74</v>
      </c>
      <c r="F19" s="24">
        <f t="shared" si="1"/>
        <v>99.407833333333329</v>
      </c>
    </row>
    <row r="20" spans="1:6" x14ac:dyDescent="0.2">
      <c r="A20" s="32">
        <v>46329</v>
      </c>
      <c r="B20" s="33">
        <v>3.74</v>
      </c>
      <c r="C20" s="33">
        <v>3.73</v>
      </c>
      <c r="D20" s="34">
        <v>0</v>
      </c>
      <c r="E20" s="33">
        <f t="shared" si="0"/>
        <v>3.7350000000000003</v>
      </c>
      <c r="F20" s="35">
        <f t="shared" si="1"/>
        <v>99.356750000000005</v>
      </c>
    </row>
    <row r="21" spans="1:6" x14ac:dyDescent="0.2">
      <c r="A21" s="21">
        <v>46331</v>
      </c>
      <c r="B21" s="22">
        <v>3.7450000000000001</v>
      </c>
      <c r="C21" s="22">
        <v>3.7349999999999999</v>
      </c>
      <c r="D21" s="26">
        <v>1.4999999999999999E-2</v>
      </c>
      <c r="E21" s="22">
        <f t="shared" si="0"/>
        <v>3.74</v>
      </c>
      <c r="F21" s="24">
        <f t="shared" si="1"/>
        <v>99.335111111111118</v>
      </c>
    </row>
    <row r="22" spans="1:6" x14ac:dyDescent="0.2">
      <c r="A22" s="17">
        <v>46336</v>
      </c>
      <c r="B22" s="18">
        <v>3.73</v>
      </c>
      <c r="C22" s="18">
        <v>3.72</v>
      </c>
      <c r="D22" s="25">
        <v>5.0000000000000001E-3</v>
      </c>
      <c r="E22" s="18">
        <f t="shared" si="0"/>
        <v>3.7250000000000001</v>
      </c>
      <c r="F22" s="20">
        <f t="shared" si="1"/>
        <v>99.286041666666662</v>
      </c>
    </row>
    <row r="23" spans="1:6" x14ac:dyDescent="0.2">
      <c r="A23" s="21">
        <v>46338</v>
      </c>
      <c r="B23" s="22">
        <v>3.7450000000000001</v>
      </c>
      <c r="C23" s="22">
        <v>3.7349999999999999</v>
      </c>
      <c r="D23" s="26">
        <v>0.01</v>
      </c>
      <c r="E23" s="22">
        <f t="shared" si="0"/>
        <v>3.74</v>
      </c>
      <c r="F23" s="24">
        <f t="shared" si="1"/>
        <v>99.262388888888893</v>
      </c>
    </row>
    <row r="24" spans="1:6" x14ac:dyDescent="0.2">
      <c r="A24" s="17">
        <v>46343</v>
      </c>
      <c r="B24" s="18">
        <v>3.7250000000000001</v>
      </c>
      <c r="C24" s="18">
        <v>3.7149999999999999</v>
      </c>
      <c r="D24" s="19">
        <v>0</v>
      </c>
      <c r="E24" s="18">
        <f t="shared" si="0"/>
        <v>3.7199999999999998</v>
      </c>
      <c r="F24" s="20">
        <f t="shared" si="1"/>
        <v>99.214666666666673</v>
      </c>
    </row>
    <row r="25" spans="1:6" x14ac:dyDescent="0.2">
      <c r="A25" s="21">
        <v>46345</v>
      </c>
      <c r="B25" s="22">
        <v>3.7450000000000001</v>
      </c>
      <c r="C25" s="22">
        <v>3.7349999999999999</v>
      </c>
      <c r="D25" s="26">
        <v>0.01</v>
      </c>
      <c r="E25" s="22">
        <f t="shared" si="0"/>
        <v>3.74</v>
      </c>
      <c r="F25" s="24">
        <f t="shared" si="1"/>
        <v>99.189666666666668</v>
      </c>
    </row>
    <row r="26" spans="1:6" x14ac:dyDescent="0.2">
      <c r="A26" s="17">
        <v>46350</v>
      </c>
      <c r="B26" s="18">
        <v>3.74</v>
      </c>
      <c r="C26" s="18">
        <v>3.73</v>
      </c>
      <c r="D26" s="25">
        <v>5.0000000000000001E-3</v>
      </c>
      <c r="E26" s="18">
        <f t="shared" si="0"/>
        <v>3.7350000000000003</v>
      </c>
      <c r="F26" s="20">
        <f t="shared" si="1"/>
        <v>99.138874999999999</v>
      </c>
    </row>
    <row r="27" spans="1:6" x14ac:dyDescent="0.2">
      <c r="A27" s="21">
        <v>46353</v>
      </c>
      <c r="B27" s="22">
        <v>3.75</v>
      </c>
      <c r="C27" s="22">
        <v>3.74</v>
      </c>
      <c r="D27" s="26">
        <v>0.01</v>
      </c>
      <c r="E27" s="22">
        <f t="shared" si="0"/>
        <v>3.7450000000000001</v>
      </c>
      <c r="F27" s="24">
        <f t="shared" si="1"/>
        <v>99.105361111111108</v>
      </c>
    </row>
    <row r="28" spans="1:6" x14ac:dyDescent="0.2">
      <c r="A28" s="32">
        <v>46357</v>
      </c>
      <c r="B28" s="33">
        <v>3.7450000000000001</v>
      </c>
      <c r="C28" s="33">
        <v>3.7349999999999999</v>
      </c>
      <c r="D28" s="36">
        <v>5.0000000000000001E-3</v>
      </c>
      <c r="E28" s="33">
        <f t="shared" si="0"/>
        <v>3.74</v>
      </c>
      <c r="F28" s="35">
        <f t="shared" si="1"/>
        <v>99.064999999999998</v>
      </c>
    </row>
    <row r="29" spans="1:6" x14ac:dyDescent="0.2">
      <c r="A29" s="21">
        <v>46359</v>
      </c>
      <c r="B29" s="22">
        <v>3.7749999999999999</v>
      </c>
      <c r="C29" s="22">
        <v>3.7650000000000001</v>
      </c>
      <c r="D29" s="26">
        <v>0.01</v>
      </c>
      <c r="E29" s="22">
        <f t="shared" si="0"/>
        <v>3.77</v>
      </c>
      <c r="F29" s="24">
        <f t="shared" si="1"/>
        <v>99.036555555555552</v>
      </c>
    </row>
    <row r="30" spans="1:6" x14ac:dyDescent="0.2">
      <c r="A30" s="17">
        <v>46364</v>
      </c>
      <c r="B30" s="18">
        <v>3.77</v>
      </c>
      <c r="C30" s="18">
        <v>3.76</v>
      </c>
      <c r="D30" s="25">
        <v>1.4999999999999999E-2</v>
      </c>
      <c r="E30" s="18">
        <f t="shared" si="0"/>
        <v>3.7649999999999997</v>
      </c>
      <c r="F30" s="20">
        <f t="shared" si="1"/>
        <v>98.985541666666663</v>
      </c>
    </row>
    <row r="31" spans="1:6" x14ac:dyDescent="0.2">
      <c r="A31" s="21">
        <v>46366</v>
      </c>
      <c r="B31" s="22">
        <v>3.75</v>
      </c>
      <c r="C31" s="22">
        <v>3.74</v>
      </c>
      <c r="D31" s="31">
        <v>0</v>
      </c>
      <c r="E31" s="22">
        <f t="shared" si="0"/>
        <v>3.7450000000000001</v>
      </c>
      <c r="F31" s="24">
        <f t="shared" si="1"/>
        <v>98.970124999999996</v>
      </c>
    </row>
    <row r="32" spans="1:6" x14ac:dyDescent="0.2">
      <c r="A32" s="17">
        <v>46371</v>
      </c>
      <c r="B32" s="18">
        <v>3.78</v>
      </c>
      <c r="C32" s="18">
        <v>3.77</v>
      </c>
      <c r="D32" s="25">
        <v>1.4999999999999999E-2</v>
      </c>
      <c r="E32" s="18">
        <f t="shared" si="0"/>
        <v>3.7749999999999999</v>
      </c>
      <c r="F32" s="20">
        <f t="shared" si="1"/>
        <v>98.909444444444446</v>
      </c>
    </row>
    <row r="33" spans="1:6" x14ac:dyDescent="0.2">
      <c r="A33" s="21">
        <v>46373</v>
      </c>
      <c r="B33" s="22">
        <v>3.77</v>
      </c>
      <c r="C33" s="22">
        <v>3.76</v>
      </c>
      <c r="D33" s="26">
        <v>5.0000000000000001E-3</v>
      </c>
      <c r="E33" s="22">
        <f t="shared" si="0"/>
        <v>3.7649999999999997</v>
      </c>
      <c r="F33" s="24">
        <f t="shared" si="1"/>
        <v>98.891416666666672</v>
      </c>
    </row>
    <row r="34" spans="1:6" x14ac:dyDescent="0.2">
      <c r="A34" s="17">
        <v>46378</v>
      </c>
      <c r="B34" s="18">
        <v>3.81</v>
      </c>
      <c r="C34" s="18">
        <v>3.8</v>
      </c>
      <c r="D34" s="25">
        <v>1.4999999999999999E-2</v>
      </c>
      <c r="E34" s="18">
        <f t="shared" si="0"/>
        <v>3.8049999999999997</v>
      </c>
      <c r="F34" s="20">
        <f t="shared" si="1"/>
        <v>98.826791666666665</v>
      </c>
    </row>
    <row r="35" spans="1:6" x14ac:dyDescent="0.2">
      <c r="A35" s="21">
        <v>46380</v>
      </c>
      <c r="B35" s="22">
        <v>3.81</v>
      </c>
      <c r="C35" s="22">
        <v>3.8</v>
      </c>
      <c r="D35" s="26">
        <v>0.01</v>
      </c>
      <c r="E35" s="22">
        <f t="shared" si="0"/>
        <v>3.8049999999999997</v>
      </c>
      <c r="F35" s="24">
        <f t="shared" si="1"/>
        <v>98.80565277777778</v>
      </c>
    </row>
    <row r="36" spans="1:6" x14ac:dyDescent="0.2">
      <c r="A36" s="17">
        <v>46385</v>
      </c>
      <c r="B36" s="18">
        <v>3.8250000000000002</v>
      </c>
      <c r="C36" s="18">
        <v>3.8149999999999999</v>
      </c>
      <c r="D36" s="25">
        <v>5.0000000000000001E-3</v>
      </c>
      <c r="E36" s="18">
        <f t="shared" si="0"/>
        <v>3.8200000000000003</v>
      </c>
      <c r="F36" s="20">
        <f t="shared" si="1"/>
        <v>98.747888888888895</v>
      </c>
    </row>
    <row r="37" spans="1:6" x14ac:dyDescent="0.2">
      <c r="A37" s="21">
        <v>46387</v>
      </c>
      <c r="B37" s="22">
        <v>3.8250000000000002</v>
      </c>
      <c r="C37" s="22">
        <v>3.8149999999999999</v>
      </c>
      <c r="D37" s="26">
        <v>1.4999999999999999E-2</v>
      </c>
      <c r="E37" s="22">
        <f t="shared" si="0"/>
        <v>3.8200000000000003</v>
      </c>
      <c r="F37" s="24">
        <f t="shared" si="1"/>
        <v>98.726666666666659</v>
      </c>
    </row>
    <row r="38" spans="1:6" x14ac:dyDescent="0.2">
      <c r="A38" s="17">
        <v>46394</v>
      </c>
      <c r="B38" s="18">
        <v>3.8</v>
      </c>
      <c r="C38" s="18">
        <v>3.79</v>
      </c>
      <c r="D38" s="25">
        <v>5.0000000000000001E-3</v>
      </c>
      <c r="E38" s="18">
        <f t="shared" si="0"/>
        <v>3.7949999999999999</v>
      </c>
      <c r="F38" s="20">
        <f t="shared" si="1"/>
        <v>98.661208333333335</v>
      </c>
    </row>
    <row r="39" spans="1:6" x14ac:dyDescent="0.2">
      <c r="A39" s="21">
        <v>46401</v>
      </c>
      <c r="B39" s="22">
        <v>3.81</v>
      </c>
      <c r="C39" s="22">
        <v>3.8</v>
      </c>
      <c r="D39" s="26">
        <v>5.0000000000000001E-3</v>
      </c>
      <c r="E39" s="22">
        <f t="shared" si="0"/>
        <v>3.8049999999999997</v>
      </c>
      <c r="F39" s="24">
        <f t="shared" si="1"/>
        <v>98.583694444444447</v>
      </c>
    </row>
    <row r="40" spans="1:6" x14ac:dyDescent="0.2">
      <c r="A40" s="17">
        <v>46408</v>
      </c>
      <c r="B40" s="18">
        <v>3.8250000000000002</v>
      </c>
      <c r="C40" s="18">
        <v>3.8149999999999999</v>
      </c>
      <c r="D40" s="25">
        <v>0.01</v>
      </c>
      <c r="E40" s="18">
        <f t="shared" si="0"/>
        <v>3.8200000000000003</v>
      </c>
      <c r="F40" s="20">
        <f t="shared" si="1"/>
        <v>98.503833333333333</v>
      </c>
    </row>
    <row r="41" spans="1:6" x14ac:dyDescent="0.2">
      <c r="A41" s="21">
        <v>46415</v>
      </c>
      <c r="B41" s="22">
        <v>3.835</v>
      </c>
      <c r="C41" s="22">
        <v>3.8250000000000002</v>
      </c>
      <c r="D41" s="31">
        <v>0</v>
      </c>
      <c r="E41" s="22">
        <f t="shared" si="0"/>
        <v>3.83</v>
      </c>
      <c r="F41" s="24">
        <f t="shared" si="1"/>
        <v>98.425444444444437</v>
      </c>
    </row>
    <row r="42" spans="1:6" x14ac:dyDescent="0.2">
      <c r="A42" s="17">
        <v>46422</v>
      </c>
      <c r="B42" s="18">
        <v>3.84</v>
      </c>
      <c r="C42" s="18">
        <v>3.83</v>
      </c>
      <c r="D42" s="25">
        <v>5.0000000000000001E-3</v>
      </c>
      <c r="E42" s="18">
        <f t="shared" si="0"/>
        <v>3.835</v>
      </c>
      <c r="F42" s="20">
        <f t="shared" si="1"/>
        <v>98.348819444444445</v>
      </c>
    </row>
    <row r="43" spans="1:6" x14ac:dyDescent="0.2">
      <c r="A43" s="21">
        <v>46429</v>
      </c>
      <c r="B43" s="22">
        <v>3.855</v>
      </c>
      <c r="C43" s="22">
        <v>3.8450000000000002</v>
      </c>
      <c r="D43" s="26">
        <v>5.0000000000000001E-3</v>
      </c>
      <c r="E43" s="22">
        <f t="shared" si="0"/>
        <v>3.85</v>
      </c>
      <c r="F43" s="24">
        <f t="shared" si="1"/>
        <v>98.267499999999998</v>
      </c>
    </row>
    <row r="44" spans="1:6" x14ac:dyDescent="0.2">
      <c r="A44" s="17">
        <v>46436</v>
      </c>
      <c r="B44" s="18">
        <v>3.855</v>
      </c>
      <c r="C44" s="18">
        <v>3.8450000000000002</v>
      </c>
      <c r="D44" s="25">
        <v>5.0000000000000001E-3</v>
      </c>
      <c r="E44" s="18">
        <f t="shared" si="0"/>
        <v>3.85</v>
      </c>
      <c r="F44" s="20">
        <f t="shared" si="1"/>
        <v>98.192638888888894</v>
      </c>
    </row>
    <row r="45" spans="1:6" x14ac:dyDescent="0.2">
      <c r="A45" s="21">
        <v>46443</v>
      </c>
      <c r="B45" s="22">
        <v>3.875</v>
      </c>
      <c r="C45" s="22">
        <v>3.8650000000000002</v>
      </c>
      <c r="D45" s="26">
        <v>1.4999999999999999E-2</v>
      </c>
      <c r="E45" s="22">
        <f t="shared" si="0"/>
        <v>3.87</v>
      </c>
      <c r="F45" s="24">
        <f t="shared" si="1"/>
        <v>98.108000000000004</v>
      </c>
    </row>
    <row r="46" spans="1:6" x14ac:dyDescent="0.2">
      <c r="A46" s="32">
        <v>46450</v>
      </c>
      <c r="B46" s="33">
        <v>3.9</v>
      </c>
      <c r="C46" s="33">
        <v>3.89</v>
      </c>
      <c r="D46" s="37" t="s">
        <v>26</v>
      </c>
      <c r="E46" s="33">
        <f t="shared" si="0"/>
        <v>3.895</v>
      </c>
      <c r="F46" s="35">
        <f t="shared" si="1"/>
        <v>98.020041666666671</v>
      </c>
    </row>
    <row r="47" spans="1:6" x14ac:dyDescent="0.2">
      <c r="A47" s="21">
        <v>46464</v>
      </c>
      <c r="B47" s="22">
        <v>3.79</v>
      </c>
      <c r="C47" s="22">
        <v>3.78</v>
      </c>
      <c r="D47" s="26">
        <v>0.02</v>
      </c>
      <c r="E47" s="22">
        <f t="shared" si="0"/>
        <v>3.7850000000000001</v>
      </c>
      <c r="F47" s="24">
        <f t="shared" si="1"/>
        <v>97.928763888888895</v>
      </c>
    </row>
    <row r="48" spans="1:6" x14ac:dyDescent="0.2">
      <c r="A48" s="17">
        <v>46492</v>
      </c>
      <c r="B48" s="18">
        <v>3.855</v>
      </c>
      <c r="C48" s="18">
        <v>3.8450000000000002</v>
      </c>
      <c r="D48" s="25">
        <v>5.0000000000000001E-3</v>
      </c>
      <c r="E48" s="18">
        <f t="shared" si="0"/>
        <v>3.85</v>
      </c>
      <c r="F48" s="20">
        <f t="shared" si="1"/>
        <v>97.59375</v>
      </c>
    </row>
    <row r="49" spans="1:6" x14ac:dyDescent="0.2">
      <c r="A49" s="21">
        <v>46520</v>
      </c>
      <c r="B49" s="22">
        <v>3.8650000000000002</v>
      </c>
      <c r="C49" s="22">
        <v>3.855</v>
      </c>
      <c r="D49" s="26">
        <v>1.4999999999999999E-2</v>
      </c>
      <c r="E49" s="22">
        <f t="shared" si="0"/>
        <v>3.8600000000000003</v>
      </c>
      <c r="F49" s="24">
        <f t="shared" si="1"/>
        <v>97.287277777777774</v>
      </c>
    </row>
    <row r="50" spans="1:6" x14ac:dyDescent="0.2">
      <c r="A50" s="17">
        <v>46548</v>
      </c>
      <c r="B50" s="18">
        <v>3.88</v>
      </c>
      <c r="C50" s="18">
        <v>3.87</v>
      </c>
      <c r="D50" s="38">
        <v>-0.01</v>
      </c>
      <c r="E50" s="18">
        <f t="shared" si="0"/>
        <v>3.875</v>
      </c>
      <c r="F50" s="20">
        <f t="shared" si="1"/>
        <v>96.975347222222226</v>
      </c>
    </row>
    <row r="51" spans="1:6" x14ac:dyDescent="0.2">
      <c r="A51" s="21">
        <v>46576</v>
      </c>
      <c r="B51" s="22">
        <v>3.93</v>
      </c>
      <c r="C51" s="22">
        <v>3.92</v>
      </c>
      <c r="D51" s="23">
        <v>-5.0000000000000001E-3</v>
      </c>
      <c r="E51" s="22">
        <f t="shared" si="0"/>
        <v>3.9249999999999998</v>
      </c>
      <c r="F51" s="24">
        <f t="shared" si="1"/>
        <v>96.631041666666661</v>
      </c>
    </row>
    <row r="52" spans="1:6" x14ac:dyDescent="0.2">
      <c r="A52" s="32">
        <v>46604</v>
      </c>
      <c r="B52" s="33">
        <v>3.9849999999999999</v>
      </c>
      <c r="C52" s="33">
        <v>3.9750000000000001</v>
      </c>
      <c r="D52" s="36">
        <v>1.4999999999999999E-2</v>
      </c>
      <c r="E52" s="33">
        <f t="shared" si="0"/>
        <v>3.98</v>
      </c>
      <c r="F52" s="35">
        <f t="shared" si="1"/>
        <v>96.274277777777783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A9EC9-0979-47BD-9E1B-EF97FF10DB34}">
  <dimension ref="A1:H13"/>
  <sheetViews>
    <sheetView tabSelected="1" workbookViewId="0">
      <selection sqref="A1:E1"/>
    </sheetView>
  </sheetViews>
  <sheetFormatPr baseColWidth="10" defaultColWidth="12.6640625" defaultRowHeight="15.75" customHeight="1" x14ac:dyDescent="0.2"/>
  <cols>
    <col min="1" max="1" width="11.83203125" bestFit="1" customWidth="1"/>
    <col min="2" max="2" width="20.5" style="11" bestFit="1" customWidth="1"/>
    <col min="3" max="3" width="17" style="11" bestFit="1" customWidth="1"/>
    <col min="4" max="4" width="13.1640625" style="11" bestFit="1" customWidth="1"/>
    <col min="5" max="5" width="12.6640625" style="11"/>
  </cols>
  <sheetData>
    <row r="1" spans="1:8" ht="24" customHeight="1" x14ac:dyDescent="0.2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</row>
    <row r="2" spans="1:8" ht="15" x14ac:dyDescent="0.2">
      <c r="A2" s="1" t="s">
        <v>5</v>
      </c>
      <c r="B2" s="2">
        <v>46296</v>
      </c>
      <c r="C2" s="3" t="s">
        <v>6</v>
      </c>
      <c r="D2" s="4">
        <v>99.703000000000003</v>
      </c>
      <c r="E2" s="3">
        <v>0</v>
      </c>
    </row>
    <row r="3" spans="1:8" ht="15" x14ac:dyDescent="0.2">
      <c r="A3" s="5" t="s">
        <v>7</v>
      </c>
      <c r="B3" s="6">
        <v>46329</v>
      </c>
      <c r="C3" s="7" t="s">
        <v>6</v>
      </c>
      <c r="D3" s="8">
        <v>99.355999999999995</v>
      </c>
      <c r="E3" s="7">
        <v>0</v>
      </c>
      <c r="H3" s="9"/>
    </row>
    <row r="4" spans="1:8" ht="15" x14ac:dyDescent="0.2">
      <c r="A4" s="5" t="s">
        <v>8</v>
      </c>
      <c r="B4" s="6">
        <v>46357</v>
      </c>
      <c r="C4" s="7" t="s">
        <v>6</v>
      </c>
      <c r="D4" s="8">
        <v>99.064999999999998</v>
      </c>
      <c r="E4" s="7">
        <v>0</v>
      </c>
      <c r="H4" s="9"/>
    </row>
    <row r="5" spans="1:8" ht="15" x14ac:dyDescent="0.2">
      <c r="A5" s="5" t="s">
        <v>9</v>
      </c>
      <c r="B5" s="6">
        <v>46450</v>
      </c>
      <c r="C5" s="7" t="s">
        <v>6</v>
      </c>
      <c r="D5" s="8">
        <v>98.02</v>
      </c>
      <c r="E5" s="7">
        <v>0</v>
      </c>
      <c r="H5" s="9"/>
    </row>
    <row r="6" spans="1:8" ht="15" x14ac:dyDescent="0.2">
      <c r="A6" s="5" t="s">
        <v>10</v>
      </c>
      <c r="B6" s="6">
        <v>46604</v>
      </c>
      <c r="C6" s="7" t="s">
        <v>6</v>
      </c>
      <c r="D6" s="8">
        <v>96.274000000000001</v>
      </c>
      <c r="E6" s="7">
        <v>0</v>
      </c>
      <c r="H6" s="9"/>
    </row>
    <row r="7" spans="1:8" ht="15" x14ac:dyDescent="0.2">
      <c r="A7" s="5" t="s">
        <v>11</v>
      </c>
      <c r="B7" s="6">
        <v>47026</v>
      </c>
      <c r="C7" s="10">
        <v>4.6249999999999999E-2</v>
      </c>
      <c r="D7" s="8">
        <v>100.13500000000001</v>
      </c>
      <c r="E7" s="7">
        <v>2</v>
      </c>
    </row>
    <row r="8" spans="1:8" ht="15" x14ac:dyDescent="0.2">
      <c r="A8" s="5" t="s">
        <v>12</v>
      </c>
      <c r="B8" s="6">
        <v>47299</v>
      </c>
      <c r="C8" s="10">
        <v>4.2500000000000003E-2</v>
      </c>
      <c r="D8" s="8">
        <v>99.144999999999996</v>
      </c>
      <c r="E8" s="7">
        <v>2</v>
      </c>
    </row>
    <row r="9" spans="1:8" ht="15" x14ac:dyDescent="0.2">
      <c r="A9" s="5" t="s">
        <v>13</v>
      </c>
      <c r="B9" s="6">
        <v>48060</v>
      </c>
      <c r="C9" s="10">
        <v>4.3749999999999997E-2</v>
      </c>
      <c r="D9" s="8">
        <v>99.064999999999998</v>
      </c>
      <c r="E9" s="7">
        <v>2</v>
      </c>
    </row>
    <row r="10" spans="1:8" ht="15" x14ac:dyDescent="0.2">
      <c r="A10" s="5" t="s">
        <v>14</v>
      </c>
      <c r="B10" s="6">
        <v>48822</v>
      </c>
      <c r="C10" s="10">
        <v>4.4999999999999998E-2</v>
      </c>
      <c r="D10" s="8">
        <v>98.656999999999996</v>
      </c>
      <c r="E10" s="7">
        <v>2</v>
      </c>
    </row>
    <row r="11" spans="1:8" ht="15" x14ac:dyDescent="0.2">
      <c r="A11" s="5" t="s">
        <v>15</v>
      </c>
      <c r="B11" s="6">
        <v>49902</v>
      </c>
      <c r="C11" s="10">
        <v>4.6249999999999999E-2</v>
      </c>
      <c r="D11" s="8">
        <v>98.203999999999994</v>
      </c>
      <c r="E11" s="7">
        <v>2</v>
      </c>
    </row>
    <row r="12" spans="1:8" ht="15" x14ac:dyDescent="0.2">
      <c r="A12" s="5" t="s">
        <v>16</v>
      </c>
      <c r="B12" s="6">
        <v>53554</v>
      </c>
      <c r="C12" s="10">
        <v>5.1249999999999997E-2</v>
      </c>
      <c r="D12" s="8">
        <v>98.06</v>
      </c>
      <c r="E12" s="7">
        <v>2</v>
      </c>
    </row>
    <row r="13" spans="1:8" ht="15" x14ac:dyDescent="0.2">
      <c r="A13" s="5" t="s">
        <v>17</v>
      </c>
      <c r="B13" s="6">
        <v>57207</v>
      </c>
      <c r="C13" s="10">
        <v>5.1249999999999997E-2</v>
      </c>
      <c r="D13" s="8">
        <v>97.27</v>
      </c>
      <c r="E13" s="7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E2964EE293E4FB7355F70A90C8D1C" ma:contentTypeVersion="16" ma:contentTypeDescription="Create a new document." ma:contentTypeScope="" ma:versionID="7866eed0382eb0f5c4af135a78a88e4c">
  <xsd:schema xmlns:xsd="http://www.w3.org/2001/XMLSchema" xmlns:xs="http://www.w3.org/2001/XMLSchema" xmlns:p="http://schemas.microsoft.com/office/2006/metadata/properties" xmlns:ns3="041f3496-c6b8-4c84-b5d5-68e0eca73b51" xmlns:ns4="3f842ea6-3d69-4b05-b6c1-3c3ff914d59f" targetNamespace="http://schemas.microsoft.com/office/2006/metadata/properties" ma:root="true" ma:fieldsID="20960d8e89ffa65561c3af1ca490ed17" ns3:_="" ns4:_="">
    <xsd:import namespace="041f3496-c6b8-4c84-b5d5-68e0eca73b51"/>
    <xsd:import namespace="3f842ea6-3d69-4b05-b6c1-3c3ff914d59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1f3496-c6b8-4c84-b5d5-68e0eca73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842ea6-3d69-4b05-b6c1-3c3ff914d59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1f3496-c6b8-4c84-b5d5-68e0eca73b51" xsi:nil="true"/>
  </documentManagement>
</p:properties>
</file>

<file path=customXml/itemProps1.xml><?xml version="1.0" encoding="utf-8"?>
<ds:datastoreItem xmlns:ds="http://schemas.openxmlformats.org/officeDocument/2006/customXml" ds:itemID="{130CE55F-3A90-467C-B6D1-DDBBAC9C80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1f3496-c6b8-4c84-b5d5-68e0eca73b51"/>
    <ds:schemaRef ds:uri="3f842ea6-3d69-4b05-b6c1-3c3ff914d5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9BF742-D4A4-4198-8B95-3F1879F9E5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F53ABE-776E-410C-908D-DA2A3081741E}">
  <ds:schemaRefs>
    <ds:schemaRef ds:uri="http://schemas.openxmlformats.org/package/2006/metadata/core-properties"/>
    <ds:schemaRef ds:uri="http://purl.org/dc/terms/"/>
    <ds:schemaRef ds:uri="041f3496-c6b8-4c84-b5d5-68e0eca73b51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3f842ea6-3d69-4b05-b6c1-3c3ff914d59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T-Bonds data</vt:lpstr>
      <vt:lpstr>T-Bills data</vt:lpstr>
      <vt:lpstr>Node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TROIANO</dc:creator>
  <cp:lastModifiedBy>ANTONIO POLITO</cp:lastModifiedBy>
  <dcterms:created xsi:type="dcterms:W3CDTF">2026-09-03T13:41:41Z</dcterms:created>
  <dcterms:modified xsi:type="dcterms:W3CDTF">2026-09-03T15:57:47Z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2026-09-03T13:44:14Z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f2c54a46-fba9-4742-a677-cb432578d425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  <property fmtid="{D5CDD505-2E9C-101B-9397-08002B2CF9AE}" pid="10" name="ContentTypeId">
    <vt:lpwstr>0x01010051DE2964EE293E4FB7355F70A90C8D1C</vt:lpwstr>
  </property>
</Properties>
</file>